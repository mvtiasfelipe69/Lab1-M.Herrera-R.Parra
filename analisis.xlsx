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32" sheetId="1" r:id="rId4"/>
    <sheet state="visible" name="n64" sheetId="2" r:id="rId5"/>
    <sheet state="visible" name="n128" sheetId="3" r:id="rId6"/>
    <sheet state="visible" name="n256" sheetId="4" r:id="rId7"/>
    <sheet state="visible" name="n512" sheetId="5" r:id="rId8"/>
    <sheet state="visible" name="n1024" sheetId="6" r:id="rId9"/>
    <sheet state="visible" name="Resumen" sheetId="7" r:id="rId10"/>
  </sheets>
  <definedNames/>
  <calcPr/>
  <extLst>
    <ext uri="GoogleSheetsCustomDataVersion2">
      <go:sheetsCustomData xmlns:go="http://customooxmlschemas.google.com/" r:id="rId11" roundtripDataChecksum="ZBJqaDGDPBUOCguAxHPgRrXo1XvLoIna8hq4rAFYil8="/>
    </ext>
  </extLst>
</workbook>
</file>

<file path=xl/sharedStrings.xml><?xml version="1.0" encoding="utf-8"?>
<sst xmlns="http://schemas.openxmlformats.org/spreadsheetml/2006/main" count="82" uniqueCount="19">
  <si>
    <t>Metodo1</t>
  </si>
  <si>
    <t>Metodo2</t>
  </si>
  <si>
    <t>Metodo3</t>
  </si>
  <si>
    <t>Estadística</t>
  </si>
  <si>
    <t>Mínimo</t>
  </si>
  <si>
    <t>Máximo</t>
  </si>
  <si>
    <t>Promedio</t>
  </si>
  <si>
    <t>Desv. Estándar</t>
  </si>
  <si>
    <t>Coef. Variación</t>
  </si>
  <si>
    <t>n</t>
  </si>
  <si>
    <t>Promedio1</t>
  </si>
  <si>
    <t>Promedio2</t>
  </si>
  <si>
    <t>Promedio3</t>
  </si>
  <si>
    <t>Ratio1</t>
  </si>
  <si>
    <t>Log2(ratio1)</t>
  </si>
  <si>
    <t>Ratio2</t>
  </si>
  <si>
    <t>Log2(ratio2)</t>
  </si>
  <si>
    <t>Ratio3</t>
  </si>
  <si>
    <t>Log2(ratio3)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</si>
</sst>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Font="1"/>
    <xf borderId="0" fillId="0" fontId="2" numFmtId="0" xfId="0" applyFont="1"/>
    <xf borderId="0" fillId="0" fontId="3" numFmtId="10" xfId="0" applyFont="1" applyNumberFormat="1"/>
    <xf borderId="2" fillId="2" fontId="1" numFmtId="0" xfId="0" applyBorder="1" applyFill="1" applyFont="1"/>
    <xf borderId="3" fillId="3" fontId="4" numFmtId="0" xfId="0" applyAlignment="1" applyBorder="1" applyFill="1" applyFont="1">
      <alignment readingOrder="0"/>
    </xf>
    <xf borderId="4" fillId="3" fontId="4" numFmtId="0" xfId="0" applyAlignment="1" applyBorder="1" applyFont="1">
      <alignment readingOrder="0"/>
    </xf>
    <xf borderId="3" fillId="4" fontId="4" numFmtId="0" xfId="0" applyAlignment="1" applyBorder="1" applyFill="1" applyFont="1">
      <alignment readingOrder="0"/>
    </xf>
    <xf borderId="4" fillId="4" fontId="4" numFmtId="0" xfId="0" applyAlignment="1" applyBorder="1" applyFont="1">
      <alignment readingOrder="0"/>
    </xf>
    <xf borderId="5" fillId="5" fontId="2" numFmtId="0" xfId="0" applyBorder="1" applyFill="1" applyFont="1"/>
    <xf borderId="0" fillId="6" fontId="2" numFmtId="0" xfId="0" applyFill="1" applyFont="1"/>
    <xf borderId="6" fillId="6" fontId="2" numFmtId="0" xfId="0" applyBorder="1" applyFont="1"/>
    <xf borderId="6" fillId="0" fontId="2" numFmtId="0" xfId="0" applyBorder="1" applyFont="1"/>
    <xf borderId="7" fillId="5" fontId="2" numFmtId="0" xfId="0" applyBorder="1" applyFont="1"/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Grafico log-log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Resumen!$B$1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Resumen!$A$2:$A$7</c:f>
            </c:numRef>
          </c:xVal>
          <c:yVal>
            <c:numRef>
              <c:f>Resumen!$B$2:$B$7</c:f>
              <c:numCache/>
            </c:numRef>
          </c:yVal>
        </c:ser>
        <c:ser>
          <c:idx val="1"/>
          <c:order val="1"/>
          <c:tx>
            <c:strRef>
              <c:f>Resumen!$C$1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Resumen!$A$2:$A$7</c:f>
            </c:numRef>
          </c:xVal>
          <c:yVal>
            <c:numRef>
              <c:f>Resumen!$C$2:$C$7</c:f>
              <c:numCache/>
            </c:numRef>
          </c:yVal>
        </c:ser>
        <c:ser>
          <c:idx val="2"/>
          <c:order val="2"/>
          <c:tx>
            <c:strRef>
              <c:f>Resumen!$D$1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Resumen!$A$2:$A$7</c:f>
            </c:numRef>
          </c:xVal>
          <c:yVal>
            <c:numRef>
              <c:f>Resumen!$D$2:$D$7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6194"/>
        <c:axId val="1940317000"/>
      </c:scatterChart>
      <c:valAx>
        <c:axId val="738786194"/>
        <c:scaling>
          <c:orientation val="minMax"/>
          <c:max val="15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Tamaño n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317000"/>
      </c:valAx>
      <c:valAx>
        <c:axId val="1940317000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Tiempo Promedio (y)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786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180975</xdr:rowOff>
    </xdr:from>
    <xdr:ext cx="5791200" cy="3552825"/>
    <xdr:graphicFrame>
      <xdr:nvGraphicFramePr>
        <xdr:cNvPr id="163095842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542925</xdr:colOff>
      <xdr:row>4</xdr:row>
      <xdr:rowOff>57150</xdr:rowOff>
    </xdr:from>
    <xdr:ext cx="5857875" cy="3486150"/>
    <xdr:grpSp>
      <xdr:nvGrpSpPr>
        <xdr:cNvPr id="2" name="Shape 2" title="Dibujo"/>
        <xdr:cNvGrpSpPr/>
      </xdr:nvGrpSpPr>
      <xdr:grpSpPr>
        <a:xfrm>
          <a:off x="1431150" y="600425"/>
          <a:ext cx="5734200" cy="3401700"/>
          <a:chOff x="1431150" y="600425"/>
          <a:chExt cx="5734200" cy="3401700"/>
        </a:xfrm>
      </xdr:grpSpPr>
      <xdr:sp>
        <xdr:nvSpPr>
          <xdr:cNvPr id="3" name="Shape 3"/>
          <xdr:cNvSpPr/>
        </xdr:nvSpPr>
        <xdr:spPr>
          <a:xfrm>
            <a:off x="1461150" y="600425"/>
            <a:ext cx="5704200" cy="31221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431150" y="600425"/>
            <a:ext cx="5704200" cy="340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¿A </a:t>
            </a:r>
            <a:r>
              <a:rPr lang="en-US" sz="1400"/>
              <a:t>qué</a:t>
            </a:r>
            <a:r>
              <a:rPr lang="en-US" sz="1400"/>
              <a:t> valor parece converger el logaritmo?</a:t>
            </a:r>
            <a:endParaRPr b="1" sz="1400"/>
          </a:p>
          <a:p>
            <a:pPr indent="0" lvl="0" marL="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1400"/>
              <a:t>Segun la tabla y el gráfico log-log, se nota claramente la diferencia de rendimiento. Los métodos 1 y 2 (cuentaPares, cuentaPares2) tienen líneas mucho más planas y ratios bajos, lo que indica un crecimiento más eficiente, cercano a O(NlogN). En cambio, la línea del </a:t>
            </a:r>
            <a:r>
              <a:rPr lang="en-US" sz="1400"/>
              <a:t>método</a:t>
            </a:r>
            <a:r>
              <a:rPr lang="en-US" sz="1400"/>
              <a:t> 3 (cuentaPares3) sube de forma muy empinada. Esto se confirma directamente con los cálculos de que, al duplicar el tamaño de N=512 a N=1024, su logaritmo del ratio da 1.89. Como este valor es prácticamente 2, queda demostrado que este tercer método tiene una complejidad cuadrática O(N2), siendo el </a:t>
            </a:r>
            <a:r>
              <a:rPr lang="en-US" sz="1400"/>
              <a:t>más</a:t>
            </a:r>
            <a:r>
              <a:rPr lang="en-US" sz="1400"/>
              <a:t> ineficiente de los tres cuando se tiende a un </a:t>
            </a:r>
            <a:r>
              <a:rPr lang="en-US" sz="1400"/>
              <a:t>número</a:t>
            </a:r>
            <a:r>
              <a:rPr lang="en-US" sz="1400"/>
              <a:t> infinito.</a:t>
            </a:r>
            <a:endParaRPr sz="1400"/>
          </a:p>
          <a:p>
            <a:pPr indent="0" lvl="0" marL="0" rtl="0" algn="l">
              <a:spcBef>
                <a:spcPts val="120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1" t="s">
        <v>0</v>
      </c>
      <c r="G1" s="1" t="s">
        <v>1</v>
      </c>
      <c r="H1" s="1" t="s">
        <v>2</v>
      </c>
    </row>
    <row r="2">
      <c r="A2" s="3">
        <v>0.904594</v>
      </c>
      <c r="B2" s="3">
        <v>0.196323</v>
      </c>
      <c r="C2" s="3">
        <v>0.312691</v>
      </c>
      <c r="E2" s="2" t="s">
        <v>4</v>
      </c>
      <c r="F2" s="3">
        <f t="shared" ref="F2:H2" si="1">MIN(A2:A101)</f>
        <v>0.041568</v>
      </c>
      <c r="G2" s="3">
        <f t="shared" si="1"/>
        <v>0.030173</v>
      </c>
      <c r="H2" s="3">
        <f t="shared" si="1"/>
        <v>0.125543</v>
      </c>
    </row>
    <row r="3">
      <c r="A3" s="3">
        <v>0.132302</v>
      </c>
      <c r="B3" s="3">
        <v>0.147215</v>
      </c>
      <c r="C3" s="3">
        <v>0.159293</v>
      </c>
      <c r="E3" s="2" t="s">
        <v>5</v>
      </c>
      <c r="F3" s="3">
        <f t="shared" ref="F3:H3" si="2">MAX(A2:A101)</f>
        <v>0.904594</v>
      </c>
      <c r="G3" s="3">
        <f t="shared" si="2"/>
        <v>0.196323</v>
      </c>
      <c r="H3" s="3">
        <f t="shared" si="2"/>
        <v>0.312691</v>
      </c>
    </row>
    <row r="4">
      <c r="A4" s="3">
        <v>0.063705</v>
      </c>
      <c r="B4" s="3">
        <v>0.105609</v>
      </c>
      <c r="C4" s="3">
        <v>0.224561</v>
      </c>
      <c r="E4" s="2" t="s">
        <v>6</v>
      </c>
      <c r="F4" s="3">
        <f t="shared" ref="F4:H4" si="3">AVERAGE(A2:A101)</f>
        <v>0.07659967</v>
      </c>
      <c r="G4" s="3">
        <f t="shared" si="3"/>
        <v>0.05733255</v>
      </c>
      <c r="H4" s="3">
        <f t="shared" si="3"/>
        <v>0.17838266</v>
      </c>
    </row>
    <row r="5">
      <c r="A5" s="3">
        <v>0.101558</v>
      </c>
      <c r="B5" s="3">
        <v>0.100512</v>
      </c>
      <c r="C5" s="3">
        <v>0.168086</v>
      </c>
      <c r="E5" s="2" t="s">
        <v>7</v>
      </c>
      <c r="F5" s="3">
        <f t="shared" ref="F5:H5" si="4">_xlfn.STDEV.S(A2:A101)</f>
        <v>0.08462389087</v>
      </c>
      <c r="G5" s="3">
        <f t="shared" si="4"/>
        <v>0.024179861</v>
      </c>
      <c r="H5" s="3">
        <f t="shared" si="4"/>
        <v>0.0261608368</v>
      </c>
    </row>
    <row r="6">
      <c r="A6" s="3">
        <v>0.078857</v>
      </c>
      <c r="B6" s="3">
        <v>0.079807</v>
      </c>
      <c r="C6" s="3">
        <v>0.152019</v>
      </c>
      <c r="E6" s="2" t="s">
        <v>8</v>
      </c>
      <c r="F6" s="4">
        <f t="shared" ref="F6:H6" si="5">F5/F4</f>
        <v>1.104755293</v>
      </c>
      <c r="G6" s="4">
        <f t="shared" si="5"/>
        <v>0.4217475239</v>
      </c>
      <c r="H6" s="4">
        <f t="shared" si="5"/>
        <v>0.1466557164</v>
      </c>
    </row>
    <row r="7">
      <c r="A7" s="3">
        <v>0.086468</v>
      </c>
      <c r="B7" s="3">
        <v>0.10674</v>
      </c>
      <c r="C7" s="3">
        <v>0.220673</v>
      </c>
    </row>
    <row r="8">
      <c r="A8" s="3">
        <v>0.109685</v>
      </c>
      <c r="B8" s="3">
        <v>0.115786</v>
      </c>
      <c r="C8" s="3">
        <v>0.156858</v>
      </c>
    </row>
    <row r="9">
      <c r="A9" s="3">
        <v>0.094479</v>
      </c>
      <c r="B9" s="3">
        <v>0.144754</v>
      </c>
      <c r="C9" s="3">
        <v>0.154593</v>
      </c>
    </row>
    <row r="10">
      <c r="A10" s="3">
        <v>0.063052</v>
      </c>
      <c r="B10" s="3">
        <v>0.067752</v>
      </c>
      <c r="C10" s="3">
        <v>0.148977</v>
      </c>
    </row>
    <row r="11">
      <c r="A11" s="3">
        <v>0.063734</v>
      </c>
      <c r="B11" s="3">
        <v>0.060935</v>
      </c>
      <c r="C11" s="3">
        <v>0.15111</v>
      </c>
    </row>
    <row r="12">
      <c r="A12" s="3">
        <v>0.066635</v>
      </c>
      <c r="B12" s="3">
        <v>0.065382</v>
      </c>
      <c r="C12" s="3">
        <v>0.149832</v>
      </c>
    </row>
    <row r="13">
      <c r="A13" s="3">
        <v>0.062181</v>
      </c>
      <c r="B13" s="3">
        <v>0.049734</v>
      </c>
      <c r="C13" s="3">
        <v>0.204603</v>
      </c>
    </row>
    <row r="14">
      <c r="A14" s="3">
        <v>0.062511</v>
      </c>
      <c r="B14" s="3">
        <v>0.051912</v>
      </c>
      <c r="C14" s="3">
        <v>0.13777</v>
      </c>
    </row>
    <row r="15">
      <c r="A15" s="3">
        <v>0.059636</v>
      </c>
      <c r="B15" s="3">
        <v>0.051946</v>
      </c>
      <c r="C15" s="3">
        <v>0.140563</v>
      </c>
    </row>
    <row r="16">
      <c r="A16" s="3">
        <v>0.06072</v>
      </c>
      <c r="B16" s="3">
        <v>0.046059</v>
      </c>
      <c r="C16" s="3">
        <v>0.137722</v>
      </c>
    </row>
    <row r="17">
      <c r="A17" s="3">
        <v>0.094728</v>
      </c>
      <c r="B17" s="3">
        <v>0.074628</v>
      </c>
      <c r="C17" s="3">
        <v>0.203426</v>
      </c>
    </row>
    <row r="18">
      <c r="A18" s="3">
        <v>0.085446</v>
      </c>
      <c r="B18" s="3">
        <v>0.098615</v>
      </c>
      <c r="C18" s="3">
        <v>0.138129</v>
      </c>
    </row>
    <row r="19">
      <c r="A19" s="3">
        <v>0.057301</v>
      </c>
      <c r="B19" s="3">
        <v>0.046205</v>
      </c>
      <c r="C19" s="3">
        <v>0.142332</v>
      </c>
    </row>
    <row r="20">
      <c r="A20" s="3">
        <v>0.060787</v>
      </c>
      <c r="B20" s="3">
        <v>0.043682</v>
      </c>
      <c r="C20" s="3">
        <v>0.137851</v>
      </c>
    </row>
    <row r="21" ht="15.75" customHeight="1">
      <c r="A21" s="3">
        <v>0.061703</v>
      </c>
      <c r="B21" s="3">
        <v>0.049115</v>
      </c>
      <c r="C21" s="3">
        <v>0.141188</v>
      </c>
    </row>
    <row r="22" ht="15.75" customHeight="1">
      <c r="A22" s="3">
        <v>0.058286</v>
      </c>
      <c r="B22" s="3">
        <v>0.045909</v>
      </c>
      <c r="C22" s="3">
        <v>0.141783</v>
      </c>
    </row>
    <row r="23" ht="15.75" customHeight="1">
      <c r="A23" s="3">
        <v>0.095648</v>
      </c>
      <c r="B23" s="3">
        <v>0.045772</v>
      </c>
      <c r="C23" s="3">
        <v>0.139972</v>
      </c>
    </row>
    <row r="24" ht="15.75" customHeight="1">
      <c r="A24" s="3">
        <v>0.058703</v>
      </c>
      <c r="B24" s="3">
        <v>0.044608</v>
      </c>
      <c r="C24" s="3">
        <v>0.146848</v>
      </c>
    </row>
    <row r="25" ht="15.75" customHeight="1">
      <c r="A25" s="3">
        <v>0.057285</v>
      </c>
      <c r="B25" s="3">
        <v>0.055033</v>
      </c>
      <c r="C25" s="3">
        <v>0.1519</v>
      </c>
    </row>
    <row r="26" ht="15.75" customHeight="1">
      <c r="A26" s="3">
        <v>0.074694</v>
      </c>
      <c r="B26" s="3">
        <v>0.063598</v>
      </c>
      <c r="C26" s="3">
        <v>0.18373</v>
      </c>
    </row>
    <row r="27" ht="15.75" customHeight="1">
      <c r="A27" s="3">
        <v>0.071381</v>
      </c>
      <c r="B27" s="3">
        <v>0.052678</v>
      </c>
      <c r="C27" s="3">
        <v>0.145152</v>
      </c>
    </row>
    <row r="28" ht="15.75" customHeight="1">
      <c r="A28" s="3">
        <v>0.066588</v>
      </c>
      <c r="B28" s="3">
        <v>0.046168</v>
      </c>
      <c r="C28" s="3">
        <v>0.151924</v>
      </c>
    </row>
    <row r="29" ht="15.75" customHeight="1">
      <c r="A29" s="3">
        <v>0.064691</v>
      </c>
      <c r="B29" s="3">
        <v>0.046486</v>
      </c>
      <c r="C29" s="3">
        <v>0.170651</v>
      </c>
    </row>
    <row r="30" ht="15.75" customHeight="1">
      <c r="A30" s="3">
        <v>0.085669</v>
      </c>
      <c r="B30" s="3">
        <v>0.078016</v>
      </c>
      <c r="C30" s="3">
        <v>0.200163</v>
      </c>
    </row>
    <row r="31" ht="15.75" customHeight="1">
      <c r="A31" s="3">
        <v>0.086607</v>
      </c>
      <c r="B31" s="3">
        <v>0.078669</v>
      </c>
      <c r="C31" s="3">
        <v>0.201659</v>
      </c>
    </row>
    <row r="32" ht="15.75" customHeight="1">
      <c r="A32" s="3">
        <v>0.075083</v>
      </c>
      <c r="B32" s="3">
        <v>0.054072</v>
      </c>
      <c r="C32" s="3">
        <v>0.199358</v>
      </c>
    </row>
    <row r="33" ht="15.75" customHeight="1">
      <c r="A33" s="3">
        <v>0.077736</v>
      </c>
      <c r="B33" s="3">
        <v>0.06274</v>
      </c>
      <c r="C33" s="3">
        <v>0.200409</v>
      </c>
    </row>
    <row r="34" ht="15.75" customHeight="1">
      <c r="A34" s="3">
        <v>0.074076</v>
      </c>
      <c r="B34" s="3">
        <v>0.061014</v>
      </c>
      <c r="C34" s="3">
        <v>0.205267</v>
      </c>
    </row>
    <row r="35" ht="15.75" customHeight="1">
      <c r="A35" s="3">
        <v>0.066914</v>
      </c>
      <c r="B35" s="3">
        <v>0.058059</v>
      </c>
      <c r="C35" s="3">
        <v>0.196105</v>
      </c>
    </row>
    <row r="36" ht="15.75" customHeight="1">
      <c r="A36" s="3">
        <v>0.074448</v>
      </c>
      <c r="B36" s="3">
        <v>0.055984</v>
      </c>
      <c r="C36" s="3">
        <v>0.204193</v>
      </c>
    </row>
    <row r="37" ht="15.75" customHeight="1">
      <c r="A37" s="3">
        <v>0.067711</v>
      </c>
      <c r="B37" s="3">
        <v>0.051834</v>
      </c>
      <c r="C37" s="3">
        <v>0.189896</v>
      </c>
    </row>
    <row r="38" ht="15.75" customHeight="1">
      <c r="A38" s="3">
        <v>0.068258</v>
      </c>
      <c r="B38" s="3">
        <v>0.055688</v>
      </c>
      <c r="C38" s="3">
        <v>0.191069</v>
      </c>
    </row>
    <row r="39" ht="15.75" customHeight="1">
      <c r="A39" s="3">
        <v>0.071943</v>
      </c>
      <c r="B39" s="3">
        <v>0.052893</v>
      </c>
      <c r="C39" s="3">
        <v>0.193305</v>
      </c>
    </row>
    <row r="40" ht="15.75" customHeight="1">
      <c r="A40" s="3">
        <v>0.066928</v>
      </c>
      <c r="B40" s="3">
        <v>0.052796</v>
      </c>
      <c r="C40" s="3">
        <v>0.18698</v>
      </c>
    </row>
    <row r="41" ht="15.75" customHeight="1">
      <c r="A41" s="3">
        <v>0.061926</v>
      </c>
      <c r="B41" s="3">
        <v>0.051556</v>
      </c>
      <c r="C41" s="3">
        <v>0.191679</v>
      </c>
    </row>
    <row r="42" ht="15.75" customHeight="1">
      <c r="A42" s="3">
        <v>0.065501</v>
      </c>
      <c r="B42" s="3">
        <v>0.051693</v>
      </c>
      <c r="C42" s="3">
        <v>0.195801</v>
      </c>
    </row>
    <row r="43" ht="15.75" customHeight="1">
      <c r="A43" s="3">
        <v>0.071524</v>
      </c>
      <c r="B43" s="3">
        <v>0.05619</v>
      </c>
      <c r="C43" s="3">
        <v>0.18776</v>
      </c>
    </row>
    <row r="44" ht="15.75" customHeight="1">
      <c r="A44" s="3">
        <v>0.068884</v>
      </c>
      <c r="B44" s="3">
        <v>0.061803</v>
      </c>
      <c r="C44" s="3">
        <v>0.191016</v>
      </c>
    </row>
    <row r="45" ht="15.75" customHeight="1">
      <c r="A45" s="3">
        <v>0.07484</v>
      </c>
      <c r="B45" s="3">
        <v>0.050936</v>
      </c>
      <c r="C45" s="3">
        <v>0.186334</v>
      </c>
    </row>
    <row r="46" ht="15.75" customHeight="1">
      <c r="A46" s="3">
        <v>0.079919</v>
      </c>
      <c r="B46" s="3">
        <v>0.051646</v>
      </c>
      <c r="C46" s="3">
        <v>0.189842</v>
      </c>
    </row>
    <row r="47" ht="15.75" customHeight="1">
      <c r="A47" s="3">
        <v>0.06485</v>
      </c>
      <c r="B47" s="3">
        <v>0.049868</v>
      </c>
      <c r="C47" s="3">
        <v>0.168554</v>
      </c>
    </row>
    <row r="48" ht="15.75" customHeight="1">
      <c r="A48" s="3">
        <v>0.051787</v>
      </c>
      <c r="B48" s="3">
        <v>0.032679</v>
      </c>
      <c r="C48" s="3">
        <v>0.136023</v>
      </c>
    </row>
    <row r="49" ht="15.75" customHeight="1">
      <c r="A49" s="3">
        <v>0.065383</v>
      </c>
      <c r="B49" s="3">
        <v>0.066911</v>
      </c>
      <c r="C49" s="3">
        <v>0.194084</v>
      </c>
    </row>
    <row r="50" ht="15.75" customHeight="1">
      <c r="A50" s="3">
        <v>0.068097</v>
      </c>
      <c r="B50" s="3">
        <v>0.058042</v>
      </c>
      <c r="C50" s="3">
        <v>0.188508</v>
      </c>
    </row>
    <row r="51" ht="15.75" customHeight="1">
      <c r="A51" s="3">
        <v>0.069493</v>
      </c>
      <c r="B51" s="3">
        <v>0.054489</v>
      </c>
      <c r="C51" s="3">
        <v>0.194065</v>
      </c>
    </row>
    <row r="52" ht="15.75" customHeight="1">
      <c r="A52" s="3">
        <v>0.073196</v>
      </c>
      <c r="B52" s="3">
        <v>0.05283</v>
      </c>
      <c r="C52" s="3">
        <v>0.197434</v>
      </c>
    </row>
    <row r="53" ht="15.75" customHeight="1">
      <c r="A53" s="3">
        <v>0.067302</v>
      </c>
      <c r="B53" s="3">
        <v>0.055135</v>
      </c>
      <c r="C53" s="3">
        <v>0.195028</v>
      </c>
    </row>
    <row r="54" ht="15.75" customHeight="1">
      <c r="A54" s="3">
        <v>0.066982</v>
      </c>
      <c r="B54" s="3">
        <v>0.054754</v>
      </c>
      <c r="C54" s="3">
        <v>0.17971</v>
      </c>
    </row>
    <row r="55" ht="15.75" customHeight="1">
      <c r="A55" s="3">
        <v>0.065337</v>
      </c>
      <c r="B55" s="3">
        <v>0.036148</v>
      </c>
      <c r="C55" s="3">
        <v>0.194978</v>
      </c>
    </row>
    <row r="56" ht="15.75" customHeight="1">
      <c r="A56" s="3">
        <v>0.063166</v>
      </c>
      <c r="B56" s="3">
        <v>0.051569</v>
      </c>
      <c r="C56" s="3">
        <v>0.196475</v>
      </c>
    </row>
    <row r="57" ht="15.75" customHeight="1">
      <c r="A57" s="3">
        <v>0.067107</v>
      </c>
      <c r="B57" s="3">
        <v>0.053921</v>
      </c>
      <c r="C57" s="3">
        <v>0.195577</v>
      </c>
    </row>
    <row r="58" ht="15.75" customHeight="1">
      <c r="A58" s="3">
        <v>0.068125</v>
      </c>
      <c r="B58" s="3">
        <v>0.048952</v>
      </c>
      <c r="C58" s="3">
        <v>0.187905</v>
      </c>
    </row>
    <row r="59" ht="15.75" customHeight="1">
      <c r="A59" s="3">
        <v>0.066425</v>
      </c>
      <c r="B59" s="3">
        <v>0.049191</v>
      </c>
      <c r="C59" s="3">
        <v>0.183078</v>
      </c>
    </row>
    <row r="60" ht="15.75" customHeight="1">
      <c r="A60" s="3">
        <v>0.06326</v>
      </c>
      <c r="B60" s="3">
        <v>0.049859</v>
      </c>
      <c r="C60" s="3">
        <v>0.192773</v>
      </c>
    </row>
    <row r="61" ht="15.75" customHeight="1">
      <c r="A61" s="3">
        <v>0.067244</v>
      </c>
      <c r="B61" s="3">
        <v>0.052966</v>
      </c>
      <c r="C61" s="3">
        <v>0.188025</v>
      </c>
    </row>
    <row r="62" ht="15.75" customHeight="1">
      <c r="A62" s="3">
        <v>0.065923</v>
      </c>
      <c r="B62" s="3">
        <v>0.052727</v>
      </c>
      <c r="C62" s="3">
        <v>0.193968</v>
      </c>
    </row>
    <row r="63" ht="15.75" customHeight="1">
      <c r="A63" s="3">
        <v>0.067135</v>
      </c>
      <c r="B63" s="3">
        <v>0.051275</v>
      </c>
      <c r="C63" s="3">
        <v>0.194868</v>
      </c>
    </row>
    <row r="64" ht="15.75" customHeight="1">
      <c r="A64" s="3">
        <v>0.07007</v>
      </c>
      <c r="B64" s="3">
        <v>0.056643</v>
      </c>
      <c r="C64" s="3">
        <v>0.198171</v>
      </c>
    </row>
    <row r="65" ht="15.75" customHeight="1">
      <c r="A65" s="3">
        <v>0.071759</v>
      </c>
      <c r="B65" s="3">
        <v>0.065038</v>
      </c>
      <c r="C65" s="3">
        <v>0.198312</v>
      </c>
    </row>
    <row r="66" ht="15.75" customHeight="1">
      <c r="A66" s="3">
        <v>0.069549</v>
      </c>
      <c r="B66" s="3">
        <v>0.0524</v>
      </c>
      <c r="C66" s="3">
        <v>0.188896</v>
      </c>
    </row>
    <row r="67" ht="15.75" customHeight="1">
      <c r="A67" s="3">
        <v>0.069022</v>
      </c>
      <c r="B67" s="3">
        <v>0.047894</v>
      </c>
      <c r="C67" s="3">
        <v>0.191379</v>
      </c>
    </row>
    <row r="68" ht="15.75" customHeight="1">
      <c r="A68" s="3">
        <v>0.072398</v>
      </c>
      <c r="B68" s="3">
        <v>0.049603</v>
      </c>
      <c r="C68" s="3">
        <v>0.189336</v>
      </c>
    </row>
    <row r="69" ht="15.75" customHeight="1">
      <c r="A69" s="3">
        <v>0.071027</v>
      </c>
      <c r="B69" s="3">
        <v>0.058957</v>
      </c>
      <c r="C69" s="3">
        <v>0.183165</v>
      </c>
    </row>
    <row r="70" ht="15.75" customHeight="1">
      <c r="A70" s="3">
        <v>0.066532</v>
      </c>
      <c r="B70" s="3">
        <v>0.048772</v>
      </c>
      <c r="C70" s="3">
        <v>0.185801</v>
      </c>
    </row>
    <row r="71" ht="15.75" customHeight="1">
      <c r="A71" s="3">
        <v>0.064519</v>
      </c>
      <c r="B71" s="3">
        <v>0.051041</v>
      </c>
      <c r="C71" s="3">
        <v>0.184955</v>
      </c>
    </row>
    <row r="72" ht="15.75" customHeight="1">
      <c r="A72" s="3">
        <v>0.06534</v>
      </c>
      <c r="B72" s="3">
        <v>0.05013</v>
      </c>
      <c r="C72" s="3">
        <v>0.173633</v>
      </c>
    </row>
    <row r="73" ht="15.75" customHeight="1">
      <c r="A73" s="3">
        <v>0.065199</v>
      </c>
      <c r="B73" s="3">
        <v>0.050146</v>
      </c>
      <c r="C73" s="3">
        <v>0.183867</v>
      </c>
    </row>
    <row r="74" ht="15.75" customHeight="1">
      <c r="A74" s="3">
        <v>0.094326</v>
      </c>
      <c r="B74" s="3">
        <v>0.044541</v>
      </c>
      <c r="C74" s="3">
        <v>0.182878</v>
      </c>
    </row>
    <row r="75" ht="15.75" customHeight="1">
      <c r="A75" s="3">
        <v>0.065905</v>
      </c>
      <c r="B75" s="3">
        <v>0.04592</v>
      </c>
      <c r="C75" s="3">
        <v>0.191097</v>
      </c>
    </row>
    <row r="76" ht="15.75" customHeight="1">
      <c r="A76" s="3">
        <v>0.063305</v>
      </c>
      <c r="B76" s="3">
        <v>0.043635</v>
      </c>
      <c r="C76" s="3">
        <v>0.175401</v>
      </c>
    </row>
    <row r="77" ht="15.75" customHeight="1">
      <c r="A77" s="3">
        <v>0.063768</v>
      </c>
      <c r="B77" s="3">
        <v>0.043802</v>
      </c>
      <c r="C77" s="3">
        <v>0.178236</v>
      </c>
    </row>
    <row r="78" ht="15.75" customHeight="1">
      <c r="A78" s="3">
        <v>0.061829</v>
      </c>
      <c r="B78" s="3">
        <v>0.047881</v>
      </c>
      <c r="C78" s="3">
        <v>0.18043</v>
      </c>
    </row>
    <row r="79" ht="15.75" customHeight="1">
      <c r="A79" s="3">
        <v>0.057602</v>
      </c>
      <c r="B79" s="3">
        <v>0.045175</v>
      </c>
      <c r="C79" s="3">
        <v>0.185635</v>
      </c>
    </row>
    <row r="80" ht="15.75" customHeight="1">
      <c r="A80" s="3">
        <v>0.059457</v>
      </c>
      <c r="B80" s="3">
        <v>0.044031</v>
      </c>
      <c r="C80" s="3">
        <v>0.183873</v>
      </c>
    </row>
    <row r="81" ht="15.75" customHeight="1">
      <c r="A81" s="3">
        <v>0.064711</v>
      </c>
      <c r="B81" s="3">
        <v>0.047693</v>
      </c>
      <c r="C81" s="3">
        <v>0.175443</v>
      </c>
    </row>
    <row r="82" ht="15.75" customHeight="1">
      <c r="A82" s="3">
        <v>0.061869</v>
      </c>
      <c r="B82" s="3">
        <v>0.04616</v>
      </c>
      <c r="C82" s="3">
        <v>0.172413</v>
      </c>
    </row>
    <row r="83" ht="15.75" customHeight="1">
      <c r="A83" s="3">
        <v>0.062898</v>
      </c>
      <c r="B83" s="3">
        <v>0.043305</v>
      </c>
      <c r="C83" s="3">
        <v>0.180657</v>
      </c>
    </row>
    <row r="84" ht="15.75" customHeight="1">
      <c r="A84" s="3">
        <v>0.06212</v>
      </c>
      <c r="B84" s="3">
        <v>0.047673</v>
      </c>
      <c r="C84" s="3">
        <v>0.173124</v>
      </c>
    </row>
    <row r="85" ht="15.75" customHeight="1">
      <c r="A85" s="3">
        <v>0.046662</v>
      </c>
      <c r="B85" s="3">
        <v>0.033812</v>
      </c>
      <c r="C85" s="3">
        <v>0.128449</v>
      </c>
    </row>
    <row r="86" ht="15.75" customHeight="1">
      <c r="A86" s="3">
        <v>0.041568</v>
      </c>
      <c r="B86" s="3">
        <v>0.030466</v>
      </c>
      <c r="C86" s="3">
        <v>0.125543</v>
      </c>
    </row>
    <row r="87" ht="15.75" customHeight="1">
      <c r="A87" s="3">
        <v>0.045817</v>
      </c>
      <c r="B87" s="3">
        <v>0.030173</v>
      </c>
      <c r="C87" s="3">
        <v>0.128166</v>
      </c>
    </row>
    <row r="88" ht="15.75" customHeight="1">
      <c r="A88" s="3">
        <v>0.06435</v>
      </c>
      <c r="B88" s="3">
        <v>0.047356</v>
      </c>
      <c r="C88" s="3">
        <v>0.179923</v>
      </c>
    </row>
    <row r="89" ht="15.75" customHeight="1">
      <c r="A89" s="3">
        <v>0.065756</v>
      </c>
      <c r="B89" s="3">
        <v>0.049022</v>
      </c>
      <c r="C89" s="3">
        <v>0.191663</v>
      </c>
    </row>
    <row r="90" ht="15.75" customHeight="1">
      <c r="A90" s="3">
        <v>0.060934</v>
      </c>
      <c r="B90" s="3">
        <v>0.0468</v>
      </c>
      <c r="C90" s="3">
        <v>0.183587</v>
      </c>
    </row>
    <row r="91" ht="15.75" customHeight="1">
      <c r="A91" s="3">
        <v>0.063545</v>
      </c>
      <c r="B91" s="3">
        <v>0.049281</v>
      </c>
      <c r="C91" s="3">
        <v>0.190327</v>
      </c>
    </row>
    <row r="92" ht="15.75" customHeight="1">
      <c r="A92" s="3">
        <v>0.06385</v>
      </c>
      <c r="B92" s="3">
        <v>0.046487</v>
      </c>
      <c r="C92" s="3">
        <v>0.185834</v>
      </c>
    </row>
    <row r="93" ht="15.75" customHeight="1">
      <c r="A93" s="3">
        <v>0.062961</v>
      </c>
      <c r="B93" s="3">
        <v>0.050872</v>
      </c>
      <c r="C93" s="3">
        <v>0.186555</v>
      </c>
    </row>
    <row r="94" ht="15.75" customHeight="1">
      <c r="A94" s="3">
        <v>0.064915</v>
      </c>
      <c r="B94" s="3">
        <v>0.049593</v>
      </c>
      <c r="C94" s="3">
        <v>0.184974</v>
      </c>
    </row>
    <row r="95" ht="15.75" customHeight="1">
      <c r="A95" s="3">
        <v>0.060525</v>
      </c>
      <c r="B95" s="3">
        <v>0.048102</v>
      </c>
      <c r="C95" s="3">
        <v>0.175627</v>
      </c>
    </row>
    <row r="96" ht="15.75" customHeight="1">
      <c r="A96" s="3">
        <v>0.047477</v>
      </c>
      <c r="B96" s="3">
        <v>0.041571</v>
      </c>
      <c r="C96" s="3">
        <v>0.17414</v>
      </c>
    </row>
    <row r="97" ht="15.75" customHeight="1">
      <c r="A97" s="3">
        <v>0.042883</v>
      </c>
      <c r="B97" s="3">
        <v>0.033729</v>
      </c>
      <c r="C97" s="3">
        <v>0.127682</v>
      </c>
    </row>
    <row r="98" ht="15.75" customHeight="1">
      <c r="A98" s="3">
        <v>0.060482</v>
      </c>
      <c r="B98" s="3">
        <v>0.04432</v>
      </c>
      <c r="C98" s="3">
        <v>0.173387</v>
      </c>
    </row>
    <row r="99" ht="15.75" customHeight="1">
      <c r="A99" s="3">
        <v>0.065761</v>
      </c>
      <c r="B99" s="3">
        <v>0.048972</v>
      </c>
      <c r="C99" s="3">
        <v>0.17947</v>
      </c>
    </row>
    <row r="100" ht="15.75" customHeight="1">
      <c r="A100" s="3">
        <v>0.060733</v>
      </c>
      <c r="B100" s="3">
        <v>0.043392</v>
      </c>
      <c r="C100" s="3">
        <v>0.181284</v>
      </c>
    </row>
    <row r="101" ht="15.75" customHeight="1">
      <c r="A101" s="3">
        <v>0.062406</v>
      </c>
      <c r="B101" s="3">
        <v>0.048999</v>
      </c>
      <c r="C101" s="3">
        <v>0.178827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1" t="s">
        <v>0</v>
      </c>
      <c r="G1" s="1" t="s">
        <v>1</v>
      </c>
      <c r="H1" s="1" t="s">
        <v>2</v>
      </c>
    </row>
    <row r="2">
      <c r="A2" s="3">
        <v>0.120807</v>
      </c>
      <c r="B2" s="3">
        <v>0.091217</v>
      </c>
      <c r="C2" s="3">
        <v>0.724621</v>
      </c>
      <c r="E2" s="2" t="s">
        <v>4</v>
      </c>
      <c r="F2" s="3">
        <f t="shared" ref="F2:H2" si="1">MIN(A2:A101)</f>
        <v>0.043441</v>
      </c>
      <c r="G2" s="3">
        <f t="shared" si="1"/>
        <v>0.026814</v>
      </c>
      <c r="H2" s="3">
        <f t="shared" si="1"/>
        <v>0.006694</v>
      </c>
    </row>
    <row r="3">
      <c r="A3" s="3">
        <v>0.118739</v>
      </c>
      <c r="B3" s="3">
        <v>0.07464</v>
      </c>
      <c r="C3" s="3">
        <v>0.170525</v>
      </c>
      <c r="E3" s="2" t="s">
        <v>5</v>
      </c>
      <c r="F3" s="3">
        <f t="shared" ref="F3:H3" si="2">MAX(A2:A101)</f>
        <v>0.164223</v>
      </c>
      <c r="G3" s="3">
        <f t="shared" si="2"/>
        <v>0.125789</v>
      </c>
      <c r="H3" s="3">
        <f t="shared" si="2"/>
        <v>0.724621</v>
      </c>
    </row>
    <row r="4">
      <c r="A4" s="3">
        <v>0.117895</v>
      </c>
      <c r="B4" s="3">
        <v>0.089772</v>
      </c>
      <c r="C4" s="3">
        <v>0.150274</v>
      </c>
      <c r="E4" s="2" t="s">
        <v>6</v>
      </c>
      <c r="F4" s="3">
        <f t="shared" ref="F4:H4" si="3">AVERAGE(A2:A101)</f>
        <v>0.08309038</v>
      </c>
      <c r="G4" s="3">
        <f t="shared" si="3"/>
        <v>0.05897776</v>
      </c>
      <c r="H4" s="3">
        <f t="shared" si="3"/>
        <v>0.15596651</v>
      </c>
    </row>
    <row r="5">
      <c r="A5" s="3">
        <v>0.118955</v>
      </c>
      <c r="B5" s="3">
        <v>0.090564</v>
      </c>
      <c r="C5" s="3">
        <v>0.145036</v>
      </c>
      <c r="E5" s="2" t="s">
        <v>7</v>
      </c>
      <c r="F5" s="3">
        <f t="shared" ref="F5:H5" si="4">_xlfn.STDEV.S(A2:A101)</f>
        <v>0.02904304368</v>
      </c>
      <c r="G5" s="3">
        <f t="shared" si="4"/>
        <v>0.01795697401</v>
      </c>
      <c r="H5" s="3">
        <f t="shared" si="4"/>
        <v>0.1570060084</v>
      </c>
    </row>
    <row r="6">
      <c r="A6" s="3">
        <v>0.121587</v>
      </c>
      <c r="B6" s="3">
        <v>0.097117</v>
      </c>
      <c r="C6" s="3">
        <v>0.152206</v>
      </c>
      <c r="E6" s="2" t="s">
        <v>8</v>
      </c>
      <c r="F6" s="4">
        <f t="shared" ref="F6:H6" si="5">F5/F4</f>
        <v>0.3495355742</v>
      </c>
      <c r="G6" s="4">
        <f t="shared" si="5"/>
        <v>0.3044702615</v>
      </c>
      <c r="H6" s="4">
        <f t="shared" si="5"/>
        <v>1.006664882</v>
      </c>
    </row>
    <row r="7">
      <c r="A7" s="3">
        <v>0.084395</v>
      </c>
      <c r="B7" s="3">
        <v>0.057614</v>
      </c>
      <c r="C7" s="3">
        <v>0.079237</v>
      </c>
    </row>
    <row r="8">
      <c r="A8" s="3">
        <v>0.082545</v>
      </c>
      <c r="B8" s="3">
        <v>0.056059</v>
      </c>
      <c r="C8" s="3">
        <v>0.080565</v>
      </c>
    </row>
    <row r="9">
      <c r="A9" s="3">
        <v>0.075989</v>
      </c>
      <c r="B9" s="3">
        <v>0.061058</v>
      </c>
      <c r="C9" s="3">
        <v>0.106905</v>
      </c>
    </row>
    <row r="10">
      <c r="A10" s="3">
        <v>0.117192</v>
      </c>
      <c r="B10" s="3">
        <v>0.090847</v>
      </c>
      <c r="C10" s="3">
        <v>0.133707</v>
      </c>
    </row>
    <row r="11">
      <c r="A11" s="3">
        <v>0.127084</v>
      </c>
      <c r="B11" s="3">
        <v>0.095545</v>
      </c>
      <c r="C11" s="3">
        <v>0.136873</v>
      </c>
    </row>
    <row r="12">
      <c r="A12" s="3">
        <v>0.115378</v>
      </c>
      <c r="B12" s="3">
        <v>0.073307</v>
      </c>
      <c r="C12" s="3">
        <v>0.104694</v>
      </c>
    </row>
    <row r="13">
      <c r="A13" s="3">
        <v>0.118538</v>
      </c>
      <c r="B13" s="3">
        <v>0.072213</v>
      </c>
      <c r="C13" s="3">
        <v>0.149794</v>
      </c>
    </row>
    <row r="14">
      <c r="A14" s="3">
        <v>0.125105</v>
      </c>
      <c r="B14" s="3">
        <v>0.076833</v>
      </c>
      <c r="C14" s="3">
        <v>0.148199</v>
      </c>
    </row>
    <row r="15">
      <c r="A15" s="3">
        <v>0.125176</v>
      </c>
      <c r="B15" s="3">
        <v>0.125789</v>
      </c>
      <c r="C15" s="3">
        <v>0.148716</v>
      </c>
    </row>
    <row r="16">
      <c r="A16" s="3">
        <v>0.11909</v>
      </c>
      <c r="B16" s="3">
        <v>0.078043</v>
      </c>
      <c r="C16" s="3">
        <v>0.142573</v>
      </c>
    </row>
    <row r="17">
      <c r="A17" s="3">
        <v>0.128842</v>
      </c>
      <c r="B17" s="3">
        <v>0.077442</v>
      </c>
      <c r="C17" s="3">
        <v>0.150369</v>
      </c>
    </row>
    <row r="18">
      <c r="A18" s="3">
        <v>0.164223</v>
      </c>
      <c r="B18" s="3">
        <v>0.071677</v>
      </c>
      <c r="C18" s="3">
        <v>0.152666</v>
      </c>
    </row>
    <row r="19">
      <c r="A19" s="3">
        <v>0.117925</v>
      </c>
      <c r="B19" s="3">
        <v>0.081157</v>
      </c>
      <c r="C19" s="3">
        <v>0.140072</v>
      </c>
    </row>
    <row r="20">
      <c r="A20" s="3">
        <v>0.146823</v>
      </c>
      <c r="B20" s="3">
        <v>0.069481</v>
      </c>
      <c r="C20" s="3">
        <v>0.143366</v>
      </c>
    </row>
    <row r="21" ht="15.75" customHeight="1">
      <c r="A21" s="3">
        <v>0.111835</v>
      </c>
      <c r="B21" s="3">
        <v>0.072085</v>
      </c>
      <c r="C21" s="3">
        <v>0.136255</v>
      </c>
    </row>
    <row r="22" ht="15.75" customHeight="1">
      <c r="A22" s="3">
        <v>0.113108</v>
      </c>
      <c r="B22" s="3">
        <v>0.072599</v>
      </c>
      <c r="C22" s="3">
        <v>0.179251</v>
      </c>
    </row>
    <row r="23" ht="15.75" customHeight="1">
      <c r="A23" s="3">
        <v>0.110487</v>
      </c>
      <c r="B23" s="3">
        <v>0.065582</v>
      </c>
      <c r="C23" s="3">
        <v>0.151101</v>
      </c>
    </row>
    <row r="24" ht="15.75" customHeight="1">
      <c r="A24" s="3">
        <v>0.117223</v>
      </c>
      <c r="B24" s="3">
        <v>0.064698</v>
      </c>
      <c r="C24" s="3">
        <v>0.151493</v>
      </c>
    </row>
    <row r="25" ht="15.75" customHeight="1">
      <c r="A25" s="3">
        <v>0.110448</v>
      </c>
      <c r="B25" s="3">
        <v>0.068806</v>
      </c>
      <c r="C25" s="3">
        <v>0.156688</v>
      </c>
    </row>
    <row r="26" ht="15.75" customHeight="1">
      <c r="A26" s="3">
        <v>0.111441</v>
      </c>
      <c r="B26" s="3">
        <v>0.064858</v>
      </c>
      <c r="C26" s="3">
        <v>0.143998</v>
      </c>
    </row>
    <row r="27" ht="15.75" customHeight="1">
      <c r="A27" s="3">
        <v>0.105684</v>
      </c>
      <c r="B27" s="3">
        <v>0.062738</v>
      </c>
      <c r="C27" s="3">
        <v>0.152884</v>
      </c>
    </row>
    <row r="28" ht="15.75" customHeight="1">
      <c r="A28" s="3">
        <v>0.110358</v>
      </c>
      <c r="B28" s="3">
        <v>0.069584</v>
      </c>
      <c r="C28" s="3">
        <v>0.146713</v>
      </c>
    </row>
    <row r="29" ht="15.75" customHeight="1">
      <c r="A29" s="3">
        <v>0.120514</v>
      </c>
      <c r="B29" s="3">
        <v>0.075452</v>
      </c>
      <c r="C29" s="3">
        <v>0.155238</v>
      </c>
    </row>
    <row r="30" ht="15.75" customHeight="1">
      <c r="A30" s="3">
        <v>0.107556</v>
      </c>
      <c r="B30" s="3">
        <v>0.061769</v>
      </c>
      <c r="C30" s="3">
        <v>0.148347</v>
      </c>
    </row>
    <row r="31" ht="15.75" customHeight="1">
      <c r="A31" s="3">
        <v>0.114097</v>
      </c>
      <c r="B31" s="3">
        <v>0.071078</v>
      </c>
      <c r="C31" s="3">
        <v>0.151604</v>
      </c>
    </row>
    <row r="32" ht="15.75" customHeight="1">
      <c r="A32" s="3">
        <v>0.107306</v>
      </c>
      <c r="B32" s="3">
        <v>0.064966</v>
      </c>
      <c r="C32" s="3">
        <v>0.152811</v>
      </c>
    </row>
    <row r="33" ht="15.75" customHeight="1">
      <c r="A33" s="3">
        <v>0.104637</v>
      </c>
      <c r="B33" s="3">
        <v>0.063187</v>
      </c>
      <c r="C33" s="3">
        <v>0.320803</v>
      </c>
    </row>
    <row r="34" ht="15.75" customHeight="1">
      <c r="A34" s="3">
        <v>0.105177</v>
      </c>
      <c r="B34" s="3">
        <v>0.064532</v>
      </c>
      <c r="C34" s="3">
        <v>0.148516</v>
      </c>
    </row>
    <row r="35" ht="15.75" customHeight="1">
      <c r="A35" s="3">
        <v>0.108643</v>
      </c>
      <c r="B35" s="3">
        <v>0.079217</v>
      </c>
      <c r="C35" s="3">
        <v>0.145555</v>
      </c>
    </row>
    <row r="36" ht="15.75" customHeight="1">
      <c r="A36" s="3">
        <v>0.097658</v>
      </c>
      <c r="B36" s="3">
        <v>0.059166</v>
      </c>
      <c r="C36" s="3">
        <v>0.079128</v>
      </c>
    </row>
    <row r="37" ht="15.75" customHeight="1">
      <c r="A37" s="3">
        <v>0.088313</v>
      </c>
      <c r="B37" s="3">
        <v>0.04418</v>
      </c>
      <c r="C37" s="3">
        <v>0.225026</v>
      </c>
    </row>
    <row r="38" ht="15.75" customHeight="1">
      <c r="A38" s="3">
        <v>0.078186</v>
      </c>
      <c r="B38" s="3">
        <v>0.040351</v>
      </c>
      <c r="C38" s="3">
        <v>0.078168</v>
      </c>
    </row>
    <row r="39" ht="15.75" customHeight="1">
      <c r="A39" s="3">
        <v>0.090066</v>
      </c>
      <c r="B39" s="3">
        <v>0.046848</v>
      </c>
      <c r="C39" s="3">
        <v>0.083083</v>
      </c>
    </row>
    <row r="40" ht="15.75" customHeight="1">
      <c r="A40" s="3">
        <v>0.10254</v>
      </c>
      <c r="B40" s="3">
        <v>0.062969</v>
      </c>
      <c r="C40" s="3">
        <v>0.123124</v>
      </c>
    </row>
    <row r="41" ht="15.75" customHeight="1">
      <c r="A41" s="3">
        <v>0.099544</v>
      </c>
      <c r="B41" s="3">
        <v>0.042024</v>
      </c>
      <c r="C41" s="3">
        <v>0.241123</v>
      </c>
    </row>
    <row r="42" ht="15.75" customHeight="1">
      <c r="A42" s="3">
        <v>0.068261</v>
      </c>
      <c r="B42" s="3">
        <v>0.039892</v>
      </c>
      <c r="C42" s="3">
        <v>0.078006</v>
      </c>
    </row>
    <row r="43" ht="15.75" customHeight="1">
      <c r="A43" s="3">
        <v>0.081622</v>
      </c>
      <c r="B43" s="3">
        <v>0.082437</v>
      </c>
      <c r="C43" s="3">
        <v>0.132899</v>
      </c>
    </row>
    <row r="44" ht="15.75" customHeight="1">
      <c r="A44" s="3">
        <v>0.126102</v>
      </c>
      <c r="B44" s="3">
        <v>0.067892</v>
      </c>
      <c r="C44" s="3">
        <v>0.140702</v>
      </c>
    </row>
    <row r="45" ht="15.75" customHeight="1">
      <c r="A45" s="3">
        <v>0.11529</v>
      </c>
      <c r="B45" s="3">
        <v>0.062723</v>
      </c>
      <c r="C45" s="3">
        <v>0.424557</v>
      </c>
    </row>
    <row r="46" ht="15.75" customHeight="1">
      <c r="A46" s="3">
        <v>0.134811</v>
      </c>
      <c r="B46" s="3">
        <v>0.068073</v>
      </c>
      <c r="C46" s="3">
        <v>0.152068</v>
      </c>
    </row>
    <row r="47" ht="15.75" customHeight="1">
      <c r="A47" s="3">
        <v>0.054257</v>
      </c>
      <c r="B47" s="3">
        <v>0.071275</v>
      </c>
      <c r="C47" s="3">
        <v>0.14881</v>
      </c>
    </row>
    <row r="48" ht="15.75" customHeight="1">
      <c r="A48" s="3">
        <v>0.053604</v>
      </c>
      <c r="B48" s="3">
        <v>0.063024</v>
      </c>
      <c r="C48" s="3">
        <v>0.155045</v>
      </c>
    </row>
    <row r="49" ht="15.75" customHeight="1">
      <c r="A49" s="3">
        <v>0.054385</v>
      </c>
      <c r="B49" s="3">
        <v>0.086921</v>
      </c>
      <c r="C49" s="3">
        <v>0.465224</v>
      </c>
    </row>
    <row r="50" ht="15.75" customHeight="1">
      <c r="A50" s="3">
        <v>0.057748</v>
      </c>
      <c r="B50" s="3">
        <v>0.049968</v>
      </c>
      <c r="C50" s="3">
        <v>0.146908</v>
      </c>
    </row>
    <row r="51" ht="15.75" customHeight="1">
      <c r="A51" s="3">
        <v>0.05955</v>
      </c>
      <c r="B51" s="3">
        <v>0.048697</v>
      </c>
      <c r="C51" s="3">
        <v>0.113428</v>
      </c>
    </row>
    <row r="52" ht="15.75" customHeight="1">
      <c r="A52" s="3">
        <v>0.059129</v>
      </c>
      <c r="B52" s="3">
        <v>0.048495</v>
      </c>
      <c r="C52" s="3">
        <v>0.453619</v>
      </c>
    </row>
    <row r="53" ht="15.75" customHeight="1">
      <c r="A53" s="3">
        <v>0.065447</v>
      </c>
      <c r="B53" s="3">
        <v>0.090153</v>
      </c>
      <c r="C53" s="3">
        <v>0.464621</v>
      </c>
    </row>
    <row r="54" ht="15.75" customHeight="1">
      <c r="A54" s="3">
        <v>0.071926</v>
      </c>
      <c r="B54" s="3">
        <v>0.044558</v>
      </c>
      <c r="C54" s="3">
        <v>0.497146</v>
      </c>
    </row>
    <row r="55" ht="15.75" customHeight="1">
      <c r="A55" s="3">
        <v>0.062116</v>
      </c>
      <c r="B55" s="3">
        <v>0.055216</v>
      </c>
      <c r="C55" s="3">
        <v>0.422057</v>
      </c>
    </row>
    <row r="56" ht="15.75" customHeight="1">
      <c r="A56" s="3">
        <v>0.065306</v>
      </c>
      <c r="B56" s="3">
        <v>0.04824</v>
      </c>
      <c r="C56" s="3">
        <v>0.419461</v>
      </c>
    </row>
    <row r="57" ht="15.75" customHeight="1">
      <c r="A57" s="3">
        <v>0.056458</v>
      </c>
      <c r="B57" s="3">
        <v>0.045826</v>
      </c>
      <c r="C57" s="3">
        <v>0.411318</v>
      </c>
    </row>
    <row r="58" ht="15.75" customHeight="1">
      <c r="A58" s="3">
        <v>0.051475</v>
      </c>
      <c r="B58" s="3">
        <v>0.030503</v>
      </c>
      <c r="C58" s="3">
        <v>0.284863</v>
      </c>
    </row>
    <row r="59" ht="15.75" customHeight="1">
      <c r="A59" s="3">
        <v>0.053837</v>
      </c>
      <c r="B59" s="3">
        <v>0.044152</v>
      </c>
      <c r="C59" s="3">
        <v>0.402936</v>
      </c>
    </row>
    <row r="60" ht="15.75" customHeight="1">
      <c r="A60" s="3">
        <v>0.053349</v>
      </c>
      <c r="B60" s="3">
        <v>0.041124</v>
      </c>
      <c r="C60" s="3">
        <v>0.431859</v>
      </c>
    </row>
    <row r="61" ht="15.75" customHeight="1">
      <c r="A61" s="3">
        <v>0.06006</v>
      </c>
      <c r="B61" s="3">
        <v>0.047294</v>
      </c>
      <c r="C61" s="3">
        <v>0.435073</v>
      </c>
    </row>
    <row r="62" ht="15.75" customHeight="1">
      <c r="A62" s="3">
        <v>0.06684</v>
      </c>
      <c r="B62" s="3">
        <v>0.050271</v>
      </c>
      <c r="C62" s="3">
        <v>0.432564</v>
      </c>
    </row>
    <row r="63" ht="15.75" customHeight="1">
      <c r="A63" s="3">
        <v>0.066719</v>
      </c>
      <c r="B63" s="3">
        <v>0.046712</v>
      </c>
      <c r="C63" s="3">
        <v>0.426583</v>
      </c>
    </row>
    <row r="64" ht="15.75" customHeight="1">
      <c r="A64" s="3">
        <v>0.056123</v>
      </c>
      <c r="B64" s="3">
        <v>0.043283</v>
      </c>
      <c r="C64" s="3">
        <v>0.437989</v>
      </c>
    </row>
    <row r="65" ht="15.75" customHeight="1">
      <c r="A65" s="3">
        <v>0.056176</v>
      </c>
      <c r="B65" s="3">
        <v>0.041044</v>
      </c>
      <c r="C65" s="3">
        <v>0.434262</v>
      </c>
    </row>
    <row r="66" ht="15.75" customHeight="1">
      <c r="A66" s="3">
        <v>0.054504</v>
      </c>
      <c r="B66" s="3">
        <v>0.043827</v>
      </c>
      <c r="C66" s="3">
        <v>0.433843</v>
      </c>
    </row>
    <row r="67" ht="15.75" customHeight="1">
      <c r="A67" s="3">
        <v>0.066236</v>
      </c>
      <c r="B67" s="3">
        <v>0.049836</v>
      </c>
      <c r="C67" s="3">
        <v>0.36076</v>
      </c>
    </row>
    <row r="68" ht="15.75" customHeight="1">
      <c r="A68" s="3">
        <v>0.068956</v>
      </c>
      <c r="B68" s="3">
        <v>0.044045</v>
      </c>
      <c r="C68" s="3">
        <v>0.009228</v>
      </c>
    </row>
    <row r="69" ht="15.75" customHeight="1">
      <c r="A69" s="3">
        <v>0.066588</v>
      </c>
      <c r="B69" s="3">
        <v>0.048961</v>
      </c>
      <c r="C69" s="3">
        <v>0.012246</v>
      </c>
    </row>
    <row r="70" ht="15.75" customHeight="1">
      <c r="A70" s="3">
        <v>0.060977</v>
      </c>
      <c r="B70" s="3">
        <v>0.045923</v>
      </c>
      <c r="C70" s="3">
        <v>0.009929</v>
      </c>
    </row>
    <row r="71" ht="15.75" customHeight="1">
      <c r="A71" s="3">
        <v>0.063324</v>
      </c>
      <c r="B71" s="3">
        <v>0.047034</v>
      </c>
      <c r="C71" s="3">
        <v>0.010561</v>
      </c>
    </row>
    <row r="72" ht="15.75" customHeight="1">
      <c r="A72" s="3">
        <v>0.070855</v>
      </c>
      <c r="B72" s="3">
        <v>0.072676</v>
      </c>
      <c r="C72" s="3">
        <v>0.011293</v>
      </c>
    </row>
    <row r="73" ht="15.75" customHeight="1">
      <c r="A73" s="3">
        <v>0.065729</v>
      </c>
      <c r="B73" s="3">
        <v>0.050448</v>
      </c>
      <c r="C73" s="3">
        <v>0.011055</v>
      </c>
    </row>
    <row r="74" ht="15.75" customHeight="1">
      <c r="A74" s="3">
        <v>0.051731</v>
      </c>
      <c r="B74" s="3">
        <v>0.042062</v>
      </c>
      <c r="C74" s="3">
        <v>0.011234</v>
      </c>
    </row>
    <row r="75" ht="15.75" customHeight="1">
      <c r="A75" s="3">
        <v>0.048579</v>
      </c>
      <c r="B75" s="3">
        <v>0.047417</v>
      </c>
      <c r="C75" s="3">
        <v>0.011737</v>
      </c>
    </row>
    <row r="76" ht="15.75" customHeight="1">
      <c r="A76" s="3">
        <v>0.051615</v>
      </c>
      <c r="B76" s="3">
        <v>0.040285</v>
      </c>
      <c r="C76" s="3">
        <v>0.009734</v>
      </c>
    </row>
    <row r="77" ht="15.75" customHeight="1">
      <c r="A77" s="3">
        <v>0.053523</v>
      </c>
      <c r="B77" s="3">
        <v>0.043101</v>
      </c>
      <c r="C77" s="3">
        <v>0.011637</v>
      </c>
    </row>
    <row r="78" ht="15.75" customHeight="1">
      <c r="A78" s="3">
        <v>0.095019</v>
      </c>
      <c r="B78" s="3">
        <v>0.043916</v>
      </c>
      <c r="C78" s="3">
        <v>0.009182</v>
      </c>
    </row>
    <row r="79" ht="15.75" customHeight="1">
      <c r="A79" s="3">
        <v>0.083795</v>
      </c>
      <c r="B79" s="3">
        <v>0.046843</v>
      </c>
      <c r="C79" s="3">
        <v>0.00978</v>
      </c>
    </row>
    <row r="80" ht="15.75" customHeight="1">
      <c r="A80" s="3">
        <v>0.055175</v>
      </c>
      <c r="B80" s="3">
        <v>0.048869</v>
      </c>
      <c r="C80" s="3">
        <v>0.011668</v>
      </c>
    </row>
    <row r="81" ht="15.75" customHeight="1">
      <c r="A81" s="3">
        <v>0.052014</v>
      </c>
      <c r="B81" s="3">
        <v>0.04861</v>
      </c>
      <c r="C81" s="3">
        <v>0.011849</v>
      </c>
    </row>
    <row r="82" ht="15.75" customHeight="1">
      <c r="A82" s="3">
        <v>0.061475</v>
      </c>
      <c r="B82" s="3">
        <v>0.049844</v>
      </c>
      <c r="C82" s="3">
        <v>0.01106</v>
      </c>
    </row>
    <row r="83" ht="15.75" customHeight="1">
      <c r="A83" s="3">
        <v>0.068559</v>
      </c>
      <c r="B83" s="3">
        <v>0.046969</v>
      </c>
      <c r="C83" s="3">
        <v>0.014822</v>
      </c>
    </row>
    <row r="84" ht="15.75" customHeight="1">
      <c r="A84" s="3">
        <v>0.054388</v>
      </c>
      <c r="B84" s="3">
        <v>0.046539</v>
      </c>
      <c r="C84" s="3">
        <v>0.011396</v>
      </c>
    </row>
    <row r="85" ht="15.75" customHeight="1">
      <c r="A85" s="3">
        <v>0.068625</v>
      </c>
      <c r="B85" s="3">
        <v>0.046381</v>
      </c>
      <c r="C85" s="3">
        <v>0.011109</v>
      </c>
    </row>
    <row r="86" ht="15.75" customHeight="1">
      <c r="A86" s="3">
        <v>0.055681</v>
      </c>
      <c r="B86" s="3">
        <v>0.043544</v>
      </c>
      <c r="C86" s="3">
        <v>0.01141</v>
      </c>
    </row>
    <row r="87" ht="15.75" customHeight="1">
      <c r="A87" s="3">
        <v>0.058035</v>
      </c>
      <c r="B87" s="3">
        <v>0.044297</v>
      </c>
      <c r="C87" s="3">
        <v>0.0114</v>
      </c>
    </row>
    <row r="88" ht="15.75" customHeight="1">
      <c r="A88" s="3">
        <v>0.05639</v>
      </c>
      <c r="B88" s="3">
        <v>0.043701</v>
      </c>
      <c r="C88" s="3">
        <v>0.011018</v>
      </c>
    </row>
    <row r="89" ht="15.75" customHeight="1">
      <c r="A89" s="3">
        <v>0.049679</v>
      </c>
      <c r="B89" s="3">
        <v>0.039796</v>
      </c>
      <c r="C89" s="3">
        <v>0.009555</v>
      </c>
    </row>
    <row r="90" ht="15.75" customHeight="1">
      <c r="A90" s="3">
        <v>0.04706</v>
      </c>
      <c r="B90" s="3">
        <v>0.038919</v>
      </c>
      <c r="C90" s="3">
        <v>0.010503</v>
      </c>
    </row>
    <row r="91" ht="15.75" customHeight="1">
      <c r="A91" s="3">
        <v>0.061559</v>
      </c>
      <c r="B91" s="3">
        <v>0.044879</v>
      </c>
      <c r="C91" s="3">
        <v>0.010162</v>
      </c>
    </row>
    <row r="92" ht="15.75" customHeight="1">
      <c r="A92" s="3">
        <v>0.063164</v>
      </c>
      <c r="B92" s="3">
        <v>0.036494</v>
      </c>
      <c r="C92" s="3">
        <v>0.010069</v>
      </c>
    </row>
    <row r="93" ht="15.75" customHeight="1">
      <c r="A93" s="3">
        <v>0.056692</v>
      </c>
      <c r="B93" s="3">
        <v>0.05081</v>
      </c>
      <c r="C93" s="3">
        <v>0.009205</v>
      </c>
    </row>
    <row r="94" ht="15.75" customHeight="1">
      <c r="A94" s="3">
        <v>0.048698</v>
      </c>
      <c r="B94" s="3">
        <v>0.041359</v>
      </c>
      <c r="C94" s="3">
        <v>0.009235</v>
      </c>
    </row>
    <row r="95" ht="15.75" customHeight="1">
      <c r="A95" s="3">
        <v>0.064727</v>
      </c>
      <c r="B95" s="3">
        <v>0.045012</v>
      </c>
      <c r="C95" s="3">
        <v>0.109111</v>
      </c>
    </row>
    <row r="96" ht="15.75" customHeight="1">
      <c r="A96" s="3">
        <v>0.101258</v>
      </c>
      <c r="B96" s="3">
        <v>0.067382</v>
      </c>
      <c r="C96" s="3">
        <v>0.009863</v>
      </c>
    </row>
    <row r="97" ht="15.75" customHeight="1">
      <c r="A97" s="3">
        <v>0.063821</v>
      </c>
      <c r="B97" s="3">
        <v>0.071674</v>
      </c>
      <c r="C97" s="3">
        <v>0.009306</v>
      </c>
    </row>
    <row r="98" ht="15.75" customHeight="1">
      <c r="A98" s="3">
        <v>0.060458</v>
      </c>
      <c r="B98" s="3">
        <v>0.099293</v>
      </c>
      <c r="C98" s="3">
        <v>0.009552</v>
      </c>
    </row>
    <row r="99" ht="15.75" customHeight="1">
      <c r="A99" s="3">
        <v>0.055639</v>
      </c>
      <c r="B99" s="3">
        <v>0.043404</v>
      </c>
      <c r="C99" s="3">
        <v>0.010961</v>
      </c>
    </row>
    <row r="100" ht="15.75" customHeight="1">
      <c r="A100" s="3">
        <v>0.049369</v>
      </c>
      <c r="B100" s="3">
        <v>0.041975</v>
      </c>
      <c r="C100" s="3">
        <v>0.011179</v>
      </c>
    </row>
    <row r="101" ht="15.75" customHeight="1">
      <c r="A101" s="3">
        <v>0.043441</v>
      </c>
      <c r="B101" s="3">
        <v>0.026814</v>
      </c>
      <c r="C101" s="3">
        <v>0.006694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1" t="s">
        <v>0</v>
      </c>
      <c r="G1" s="1" t="s">
        <v>1</v>
      </c>
      <c r="H1" s="1" t="s">
        <v>2</v>
      </c>
    </row>
    <row r="2">
      <c r="A2" s="3">
        <v>0.07069</v>
      </c>
      <c r="B2" s="3">
        <v>0.076005</v>
      </c>
      <c r="C2" s="3">
        <v>0.020001</v>
      </c>
      <c r="E2" s="2" t="s">
        <v>4</v>
      </c>
      <c r="F2" s="3">
        <f t="shared" ref="F2:H2" si="1">MIN(A2:A101)</f>
        <v>0.044392</v>
      </c>
      <c r="G2" s="3">
        <f t="shared" si="1"/>
        <v>0.037396</v>
      </c>
      <c r="H2" s="3">
        <f t="shared" si="1"/>
        <v>0.017597</v>
      </c>
    </row>
    <row r="3">
      <c r="A3" s="3">
        <v>0.062975</v>
      </c>
      <c r="B3" s="3">
        <v>0.053005</v>
      </c>
      <c r="C3" s="3">
        <v>0.018418</v>
      </c>
      <c r="E3" s="2" t="s">
        <v>5</v>
      </c>
      <c r="F3" s="3">
        <f t="shared" ref="F3:H3" si="2">MAX(A2:A101)</f>
        <v>0.12654</v>
      </c>
      <c r="G3" s="3">
        <f t="shared" si="2"/>
        <v>0.116463</v>
      </c>
      <c r="H3" s="3">
        <f t="shared" si="2"/>
        <v>0.057083</v>
      </c>
    </row>
    <row r="4">
      <c r="A4" s="3">
        <v>0.110044</v>
      </c>
      <c r="B4" s="3">
        <v>0.043612</v>
      </c>
      <c r="C4" s="3">
        <v>0.017856</v>
      </c>
      <c r="E4" s="2" t="s">
        <v>6</v>
      </c>
      <c r="F4" s="3">
        <f t="shared" ref="F4:H4" si="3">AVERAGE(A2:A101)</f>
        <v>0.07208476</v>
      </c>
      <c r="G4" s="3">
        <f t="shared" si="3"/>
        <v>0.06094589</v>
      </c>
      <c r="H4" s="3">
        <f t="shared" si="3"/>
        <v>0.02942416</v>
      </c>
    </row>
    <row r="5">
      <c r="A5" s="3">
        <v>0.055419</v>
      </c>
      <c r="B5" s="3">
        <v>0.045872</v>
      </c>
      <c r="C5" s="3">
        <v>0.017894</v>
      </c>
      <c r="E5" s="2" t="s">
        <v>7</v>
      </c>
      <c r="F5" s="3">
        <f t="shared" ref="F5:H5" si="4">_xlfn.STDEV.S(A2:A101)</f>
        <v>0.01261656896</v>
      </c>
      <c r="G5" s="3">
        <f t="shared" si="4"/>
        <v>0.01241343323</v>
      </c>
      <c r="H5" s="3">
        <f t="shared" si="4"/>
        <v>0.006207627826</v>
      </c>
    </row>
    <row r="6">
      <c r="A6" s="3">
        <v>0.05222</v>
      </c>
      <c r="B6" s="3">
        <v>0.043961</v>
      </c>
      <c r="C6" s="3">
        <v>0.018399</v>
      </c>
      <c r="E6" s="2" t="s">
        <v>8</v>
      </c>
      <c r="F6" s="4">
        <f t="shared" ref="F6:H6" si="5">F5/F4</f>
        <v>0.1750240822</v>
      </c>
      <c r="G6" s="4">
        <f t="shared" si="5"/>
        <v>0.2036795792</v>
      </c>
      <c r="H6" s="4">
        <f t="shared" si="5"/>
        <v>0.2109704347</v>
      </c>
    </row>
    <row r="7">
      <c r="A7" s="3">
        <v>0.062514</v>
      </c>
      <c r="B7" s="3">
        <v>0.044786</v>
      </c>
      <c r="C7" s="3">
        <v>0.018274</v>
      </c>
    </row>
    <row r="8">
      <c r="A8" s="3">
        <v>0.057362</v>
      </c>
      <c r="B8" s="3">
        <v>0.044407</v>
      </c>
      <c r="C8" s="3">
        <v>0.017998</v>
      </c>
    </row>
    <row r="9">
      <c r="A9" s="3">
        <v>0.056596</v>
      </c>
      <c r="B9" s="3">
        <v>0.046299</v>
      </c>
      <c r="C9" s="3">
        <v>0.017597</v>
      </c>
    </row>
    <row r="10">
      <c r="A10" s="3">
        <v>0.045631</v>
      </c>
      <c r="B10" s="3">
        <v>0.038004</v>
      </c>
      <c r="C10" s="3">
        <v>0.017764</v>
      </c>
    </row>
    <row r="11">
      <c r="A11" s="3">
        <v>0.061788</v>
      </c>
      <c r="B11" s="3">
        <v>0.062364</v>
      </c>
      <c r="C11" s="3">
        <v>0.032265</v>
      </c>
    </row>
    <row r="12">
      <c r="A12" s="3">
        <v>0.12654</v>
      </c>
      <c r="B12" s="3">
        <v>0.064688</v>
      </c>
      <c r="C12" s="3">
        <v>0.01874</v>
      </c>
    </row>
    <row r="13">
      <c r="A13" s="3">
        <v>0.052408</v>
      </c>
      <c r="B13" s="3">
        <v>0.040484</v>
      </c>
      <c r="C13" s="3">
        <v>0.018008</v>
      </c>
    </row>
    <row r="14">
      <c r="A14" s="3">
        <v>0.047144</v>
      </c>
      <c r="B14" s="3">
        <v>0.037396</v>
      </c>
      <c r="C14" s="3">
        <v>0.017932</v>
      </c>
    </row>
    <row r="15">
      <c r="A15" s="3">
        <v>0.053749</v>
      </c>
      <c r="B15" s="3">
        <v>0.053656</v>
      </c>
      <c r="C15" s="3">
        <v>0.026864</v>
      </c>
    </row>
    <row r="16">
      <c r="A16" s="3">
        <v>0.071151</v>
      </c>
      <c r="B16" s="3">
        <v>0.040746</v>
      </c>
      <c r="C16" s="3">
        <v>0.017657</v>
      </c>
    </row>
    <row r="17">
      <c r="A17" s="3">
        <v>0.044651</v>
      </c>
      <c r="B17" s="3">
        <v>0.06361</v>
      </c>
      <c r="C17" s="3">
        <v>0.028949</v>
      </c>
    </row>
    <row r="18">
      <c r="A18" s="3">
        <v>0.046617</v>
      </c>
      <c r="B18" s="3">
        <v>0.038502</v>
      </c>
      <c r="C18" s="3">
        <v>0.018403</v>
      </c>
    </row>
    <row r="19">
      <c r="A19" s="3">
        <v>0.044392</v>
      </c>
      <c r="B19" s="3">
        <v>0.040899</v>
      </c>
      <c r="C19" s="3">
        <v>0.0182</v>
      </c>
    </row>
    <row r="20">
      <c r="A20" s="3">
        <v>0.060076</v>
      </c>
      <c r="B20" s="3">
        <v>0.05995</v>
      </c>
      <c r="C20" s="3">
        <v>0.031538</v>
      </c>
    </row>
    <row r="21" ht="15.75" customHeight="1">
      <c r="A21" s="3">
        <v>0.061891</v>
      </c>
      <c r="B21" s="3">
        <v>0.061791</v>
      </c>
      <c r="C21" s="3">
        <v>0.029655</v>
      </c>
    </row>
    <row r="22" ht="15.75" customHeight="1">
      <c r="A22" s="3">
        <v>0.06718</v>
      </c>
      <c r="B22" s="3">
        <v>0.116463</v>
      </c>
      <c r="C22" s="3">
        <v>0.029785</v>
      </c>
    </row>
    <row r="23" ht="15.75" customHeight="1">
      <c r="A23" s="3">
        <v>0.072561</v>
      </c>
      <c r="B23" s="3">
        <v>0.058899</v>
      </c>
      <c r="C23" s="3">
        <v>0.02798</v>
      </c>
    </row>
    <row r="24" ht="15.75" customHeight="1">
      <c r="A24" s="3">
        <v>0.080572</v>
      </c>
      <c r="B24" s="3">
        <v>0.058085</v>
      </c>
      <c r="C24" s="3">
        <v>0.02621</v>
      </c>
    </row>
    <row r="25" ht="15.75" customHeight="1">
      <c r="A25" s="3">
        <v>0.070748</v>
      </c>
      <c r="B25" s="3">
        <v>0.063784</v>
      </c>
      <c r="C25" s="3">
        <v>0.02742</v>
      </c>
    </row>
    <row r="26" ht="15.75" customHeight="1">
      <c r="A26" s="3">
        <v>0.082762</v>
      </c>
      <c r="B26" s="3">
        <v>0.056038</v>
      </c>
      <c r="C26" s="3">
        <v>0.033306</v>
      </c>
    </row>
    <row r="27" ht="15.75" customHeight="1">
      <c r="A27" s="3">
        <v>0.083737</v>
      </c>
      <c r="B27" s="3">
        <v>0.051304</v>
      </c>
      <c r="C27" s="3">
        <v>0.021881</v>
      </c>
    </row>
    <row r="28" ht="15.75" customHeight="1">
      <c r="A28" s="3">
        <v>0.047375</v>
      </c>
      <c r="B28" s="3">
        <v>0.038619</v>
      </c>
      <c r="C28" s="3">
        <v>0.018304</v>
      </c>
    </row>
    <row r="29" ht="15.75" customHeight="1">
      <c r="A29" s="3">
        <v>0.069604</v>
      </c>
      <c r="B29" s="3">
        <v>0.054965</v>
      </c>
      <c r="C29" s="3">
        <v>0.029071</v>
      </c>
    </row>
    <row r="30" ht="15.75" customHeight="1">
      <c r="A30" s="3">
        <v>0.071837</v>
      </c>
      <c r="B30" s="3">
        <v>0.059734</v>
      </c>
      <c r="C30" s="3">
        <v>0.031791</v>
      </c>
    </row>
    <row r="31" ht="15.75" customHeight="1">
      <c r="A31" s="3">
        <v>0.077614</v>
      </c>
      <c r="B31" s="3">
        <v>0.063065</v>
      </c>
      <c r="C31" s="3">
        <v>0.035098</v>
      </c>
    </row>
    <row r="32" ht="15.75" customHeight="1">
      <c r="A32" s="3">
        <v>0.074921</v>
      </c>
      <c r="B32" s="3">
        <v>0.061714</v>
      </c>
      <c r="C32" s="3">
        <v>0.034873</v>
      </c>
    </row>
    <row r="33" ht="15.75" customHeight="1">
      <c r="A33" s="3">
        <v>0.081036</v>
      </c>
      <c r="B33" s="3">
        <v>0.058624</v>
      </c>
      <c r="C33" s="3">
        <v>0.029191</v>
      </c>
    </row>
    <row r="34" ht="15.75" customHeight="1">
      <c r="A34" s="3">
        <v>0.081441</v>
      </c>
      <c r="B34" s="3">
        <v>0.061843</v>
      </c>
      <c r="C34" s="3">
        <v>0.032119</v>
      </c>
    </row>
    <row r="35" ht="15.75" customHeight="1">
      <c r="A35" s="3">
        <v>0.076513</v>
      </c>
      <c r="B35" s="3">
        <v>0.062314</v>
      </c>
      <c r="C35" s="3">
        <v>0.033741</v>
      </c>
    </row>
    <row r="36" ht="15.75" customHeight="1">
      <c r="A36" s="3">
        <v>0.077094</v>
      </c>
      <c r="B36" s="3">
        <v>0.076105</v>
      </c>
      <c r="C36" s="3">
        <v>0.057083</v>
      </c>
    </row>
    <row r="37" ht="15.75" customHeight="1">
      <c r="A37" s="3">
        <v>0.064404</v>
      </c>
      <c r="B37" s="3">
        <v>0.048605</v>
      </c>
      <c r="C37" s="3">
        <v>0.028654</v>
      </c>
    </row>
    <row r="38" ht="15.75" customHeight="1">
      <c r="A38" s="3">
        <v>0.0718</v>
      </c>
      <c r="B38" s="3">
        <v>0.064456</v>
      </c>
      <c r="C38" s="3">
        <v>0.032001</v>
      </c>
    </row>
    <row r="39" ht="15.75" customHeight="1">
      <c r="A39" s="3">
        <v>0.079564</v>
      </c>
      <c r="B39" s="3">
        <v>0.058859</v>
      </c>
      <c r="C39" s="3">
        <v>0.030293</v>
      </c>
    </row>
    <row r="40" ht="15.75" customHeight="1">
      <c r="A40" s="3">
        <v>0.076121</v>
      </c>
      <c r="B40" s="3">
        <v>0.059669</v>
      </c>
      <c r="C40" s="3">
        <v>0.03424</v>
      </c>
    </row>
    <row r="41" ht="15.75" customHeight="1">
      <c r="A41" s="3">
        <v>0.07521</v>
      </c>
      <c r="B41" s="3">
        <v>0.058611</v>
      </c>
      <c r="C41" s="3">
        <v>0.032541</v>
      </c>
    </row>
    <row r="42" ht="15.75" customHeight="1">
      <c r="A42" s="3">
        <v>0.076325</v>
      </c>
      <c r="B42" s="3">
        <v>0.062134</v>
      </c>
      <c r="C42" s="3">
        <v>0.033046</v>
      </c>
    </row>
    <row r="43" ht="15.75" customHeight="1">
      <c r="A43" s="3">
        <v>0.074206</v>
      </c>
      <c r="B43" s="3">
        <v>0.066122</v>
      </c>
      <c r="C43" s="3">
        <v>0.035026</v>
      </c>
    </row>
    <row r="44" ht="15.75" customHeight="1">
      <c r="A44" s="3">
        <v>0.082803</v>
      </c>
      <c r="B44" s="3">
        <v>0.084507</v>
      </c>
      <c r="C44" s="3">
        <v>0.043164</v>
      </c>
    </row>
    <row r="45" ht="15.75" customHeight="1">
      <c r="A45" s="3">
        <v>0.082648</v>
      </c>
      <c r="B45" s="3">
        <v>0.067458</v>
      </c>
      <c r="C45" s="3">
        <v>0.030872</v>
      </c>
    </row>
    <row r="46" ht="15.75" customHeight="1">
      <c r="A46" s="3">
        <v>0.081353</v>
      </c>
      <c r="B46" s="3">
        <v>0.059871</v>
      </c>
      <c r="C46" s="3">
        <v>0.032</v>
      </c>
    </row>
    <row r="47" ht="15.75" customHeight="1">
      <c r="A47" s="3">
        <v>0.070452</v>
      </c>
      <c r="B47" s="3">
        <v>0.055655</v>
      </c>
      <c r="C47" s="3">
        <v>0.028078</v>
      </c>
    </row>
    <row r="48" ht="15.75" customHeight="1">
      <c r="A48" s="3">
        <v>0.093678</v>
      </c>
      <c r="B48" s="3">
        <v>0.06869</v>
      </c>
      <c r="C48" s="3">
        <v>0.034503</v>
      </c>
    </row>
    <row r="49" ht="15.75" customHeight="1">
      <c r="A49" s="3">
        <v>0.079543</v>
      </c>
      <c r="B49" s="3">
        <v>0.068863</v>
      </c>
      <c r="C49" s="3">
        <v>0.036271</v>
      </c>
    </row>
    <row r="50" ht="15.75" customHeight="1">
      <c r="A50" s="3">
        <v>0.072925</v>
      </c>
      <c r="B50" s="3">
        <v>0.054103</v>
      </c>
      <c r="C50" s="3">
        <v>0.028533</v>
      </c>
    </row>
    <row r="51" ht="15.75" customHeight="1">
      <c r="A51" s="3">
        <v>0.064802</v>
      </c>
      <c r="B51" s="3">
        <v>0.056588</v>
      </c>
      <c r="C51" s="3">
        <v>0.030773</v>
      </c>
    </row>
    <row r="52" ht="15.75" customHeight="1">
      <c r="A52" s="3">
        <v>0.072583</v>
      </c>
      <c r="B52" s="3">
        <v>0.061274</v>
      </c>
      <c r="C52" s="3">
        <v>0.032169</v>
      </c>
    </row>
    <row r="53" ht="15.75" customHeight="1">
      <c r="A53" s="3">
        <v>0.077038</v>
      </c>
      <c r="B53" s="3">
        <v>0.063026</v>
      </c>
      <c r="C53" s="3">
        <v>0.031855</v>
      </c>
    </row>
    <row r="54" ht="15.75" customHeight="1">
      <c r="A54" s="3">
        <v>0.066828</v>
      </c>
      <c r="B54" s="3">
        <v>0.063956</v>
      </c>
      <c r="C54" s="3">
        <v>0.029399</v>
      </c>
    </row>
    <row r="55" ht="15.75" customHeight="1">
      <c r="A55" s="3">
        <v>0.077238</v>
      </c>
      <c r="B55" s="3">
        <v>0.06396</v>
      </c>
      <c r="C55" s="3">
        <v>0.030894</v>
      </c>
    </row>
    <row r="56" ht="15.75" customHeight="1">
      <c r="A56" s="3">
        <v>0.074969</v>
      </c>
      <c r="B56" s="3">
        <v>0.063474</v>
      </c>
      <c r="C56" s="3">
        <v>0.029105</v>
      </c>
    </row>
    <row r="57" ht="15.75" customHeight="1">
      <c r="A57" s="3">
        <v>0.075593</v>
      </c>
      <c r="B57" s="3">
        <v>0.092968</v>
      </c>
      <c r="C57" s="3">
        <v>0.031335</v>
      </c>
    </row>
    <row r="58" ht="15.75" customHeight="1">
      <c r="A58" s="3">
        <v>0.071236</v>
      </c>
      <c r="B58" s="3">
        <v>0.058822</v>
      </c>
      <c r="C58" s="3">
        <v>0.030996</v>
      </c>
    </row>
    <row r="59" ht="15.75" customHeight="1">
      <c r="A59" s="3">
        <v>0.08118</v>
      </c>
      <c r="B59" s="3">
        <v>0.09724</v>
      </c>
      <c r="C59" s="3">
        <v>0.030888</v>
      </c>
    </row>
    <row r="60" ht="15.75" customHeight="1">
      <c r="A60" s="3">
        <v>0.082612</v>
      </c>
      <c r="B60" s="3">
        <v>0.070066</v>
      </c>
      <c r="C60" s="3">
        <v>0.029797</v>
      </c>
    </row>
    <row r="61" ht="15.75" customHeight="1">
      <c r="A61" s="3">
        <v>0.077982</v>
      </c>
      <c r="B61" s="3">
        <v>0.061642</v>
      </c>
      <c r="C61" s="3">
        <v>0.032178</v>
      </c>
    </row>
    <row r="62" ht="15.75" customHeight="1">
      <c r="A62" s="3">
        <v>0.069526</v>
      </c>
      <c r="B62" s="3">
        <v>0.065998</v>
      </c>
      <c r="C62" s="3">
        <v>0.031617</v>
      </c>
    </row>
    <row r="63" ht="15.75" customHeight="1">
      <c r="A63" s="3">
        <v>0.086987</v>
      </c>
      <c r="B63" s="3">
        <v>0.061959</v>
      </c>
      <c r="C63" s="3">
        <v>0.033183</v>
      </c>
    </row>
    <row r="64" ht="15.75" customHeight="1">
      <c r="A64" s="3">
        <v>0.08734</v>
      </c>
      <c r="B64" s="3">
        <v>0.064368</v>
      </c>
      <c r="C64" s="3">
        <v>0.030996</v>
      </c>
    </row>
    <row r="65" ht="15.75" customHeight="1">
      <c r="A65" s="3">
        <v>0.078219</v>
      </c>
      <c r="B65" s="3">
        <v>0.065313</v>
      </c>
      <c r="C65" s="3">
        <v>0.032158</v>
      </c>
    </row>
    <row r="66" ht="15.75" customHeight="1">
      <c r="A66" s="3">
        <v>0.068969</v>
      </c>
      <c r="B66" s="3">
        <v>0.058691</v>
      </c>
      <c r="C66" s="3">
        <v>0.033719</v>
      </c>
    </row>
    <row r="67" ht="15.75" customHeight="1">
      <c r="A67" s="3">
        <v>0.071165</v>
      </c>
      <c r="B67" s="3">
        <v>0.061333</v>
      </c>
      <c r="C67" s="3">
        <v>0.033195</v>
      </c>
    </row>
    <row r="68" ht="15.75" customHeight="1">
      <c r="A68" s="3">
        <v>0.071322</v>
      </c>
      <c r="B68" s="3">
        <v>0.055644</v>
      </c>
      <c r="C68" s="3">
        <v>0.029606</v>
      </c>
    </row>
    <row r="69" ht="15.75" customHeight="1">
      <c r="A69" s="3">
        <v>0.071499</v>
      </c>
      <c r="B69" s="3">
        <v>0.060168</v>
      </c>
      <c r="C69" s="3">
        <v>0.030708</v>
      </c>
    </row>
    <row r="70" ht="15.75" customHeight="1">
      <c r="A70" s="3">
        <v>0.08011</v>
      </c>
      <c r="B70" s="3">
        <v>0.071981</v>
      </c>
      <c r="C70" s="3">
        <v>0.033441</v>
      </c>
    </row>
    <row r="71" ht="15.75" customHeight="1">
      <c r="A71" s="3">
        <v>0.079566</v>
      </c>
      <c r="B71" s="3">
        <v>0.063535</v>
      </c>
      <c r="C71" s="3">
        <v>0.033473</v>
      </c>
    </row>
    <row r="72" ht="15.75" customHeight="1">
      <c r="A72" s="3">
        <v>0.072572</v>
      </c>
      <c r="B72" s="3">
        <v>0.068621</v>
      </c>
      <c r="C72" s="3">
        <v>0.032222</v>
      </c>
    </row>
    <row r="73" ht="15.75" customHeight="1">
      <c r="A73" s="3">
        <v>0.078474</v>
      </c>
      <c r="B73" s="3">
        <v>0.058235</v>
      </c>
      <c r="C73" s="3">
        <v>0.029235</v>
      </c>
    </row>
    <row r="74" ht="15.75" customHeight="1">
      <c r="A74" s="3">
        <v>0.07239</v>
      </c>
      <c r="B74" s="3">
        <v>0.064123</v>
      </c>
      <c r="C74" s="3">
        <v>0.029355</v>
      </c>
    </row>
    <row r="75" ht="15.75" customHeight="1">
      <c r="A75" s="3">
        <v>0.104427</v>
      </c>
      <c r="B75" s="3">
        <v>0.066934</v>
      </c>
      <c r="C75" s="3">
        <v>0.032312</v>
      </c>
    </row>
    <row r="76" ht="15.75" customHeight="1">
      <c r="A76" s="3">
        <v>0.067671</v>
      </c>
      <c r="B76" s="3">
        <v>0.060134</v>
      </c>
      <c r="C76" s="3">
        <v>0.031136</v>
      </c>
    </row>
    <row r="77" ht="15.75" customHeight="1">
      <c r="A77" s="3">
        <v>0.074604</v>
      </c>
      <c r="B77" s="3">
        <v>0.063879</v>
      </c>
      <c r="C77" s="3">
        <v>0.033144</v>
      </c>
    </row>
    <row r="78" ht="15.75" customHeight="1">
      <c r="A78" s="3">
        <v>0.06925</v>
      </c>
      <c r="B78" s="3">
        <v>0.06583</v>
      </c>
      <c r="C78" s="3">
        <v>0.033459</v>
      </c>
    </row>
    <row r="79" ht="15.75" customHeight="1">
      <c r="A79" s="3">
        <v>0.075563</v>
      </c>
      <c r="B79" s="3">
        <v>0.064186</v>
      </c>
      <c r="C79" s="3">
        <v>0.034612</v>
      </c>
    </row>
    <row r="80" ht="15.75" customHeight="1">
      <c r="A80" s="3">
        <v>0.074917</v>
      </c>
      <c r="B80" s="3">
        <v>0.0622</v>
      </c>
      <c r="C80" s="3">
        <v>0.032636</v>
      </c>
    </row>
    <row r="81" ht="15.75" customHeight="1">
      <c r="A81" s="3">
        <v>0.070797</v>
      </c>
      <c r="B81" s="3">
        <v>0.059673</v>
      </c>
      <c r="C81" s="3">
        <v>0.035422</v>
      </c>
    </row>
    <row r="82" ht="15.75" customHeight="1">
      <c r="A82" s="3">
        <v>0.074096</v>
      </c>
      <c r="B82" s="3">
        <v>0.060919</v>
      </c>
      <c r="C82" s="3">
        <v>0.030647</v>
      </c>
    </row>
    <row r="83" ht="15.75" customHeight="1">
      <c r="A83" s="3">
        <v>0.07084</v>
      </c>
      <c r="B83" s="3">
        <v>0.061668</v>
      </c>
      <c r="C83" s="3">
        <v>0.033415</v>
      </c>
    </row>
    <row r="84" ht="15.75" customHeight="1">
      <c r="A84" s="3">
        <v>0.070391</v>
      </c>
      <c r="B84" s="3">
        <v>0.061491</v>
      </c>
      <c r="C84" s="3">
        <v>0.0196</v>
      </c>
    </row>
    <row r="85" ht="15.75" customHeight="1">
      <c r="A85" s="3">
        <v>0.08395</v>
      </c>
      <c r="B85" s="3">
        <v>0.063359</v>
      </c>
      <c r="C85" s="3">
        <v>0.030636</v>
      </c>
    </row>
    <row r="86" ht="15.75" customHeight="1">
      <c r="A86" s="3">
        <v>0.079513</v>
      </c>
      <c r="B86" s="3">
        <v>0.078846</v>
      </c>
      <c r="C86" s="3">
        <v>0.032699</v>
      </c>
    </row>
    <row r="87" ht="15.75" customHeight="1">
      <c r="A87" s="3">
        <v>0.086503</v>
      </c>
      <c r="B87" s="3">
        <v>0.070138</v>
      </c>
      <c r="C87" s="3">
        <v>0.034625</v>
      </c>
    </row>
    <row r="88" ht="15.75" customHeight="1">
      <c r="A88" s="3">
        <v>0.077106</v>
      </c>
      <c r="B88" s="3">
        <v>0.060242</v>
      </c>
      <c r="C88" s="3">
        <v>0.031399</v>
      </c>
    </row>
    <row r="89" ht="15.75" customHeight="1">
      <c r="A89" s="3">
        <v>0.076875</v>
      </c>
      <c r="B89" s="3">
        <v>0.064496</v>
      </c>
      <c r="C89" s="3">
        <v>0.031687</v>
      </c>
    </row>
    <row r="90" ht="15.75" customHeight="1">
      <c r="A90" s="3">
        <v>0.075501</v>
      </c>
      <c r="B90" s="3">
        <v>0.062137</v>
      </c>
      <c r="C90" s="3">
        <v>0.031806</v>
      </c>
    </row>
    <row r="91" ht="15.75" customHeight="1">
      <c r="A91" s="3">
        <v>0.07608</v>
      </c>
      <c r="B91" s="3">
        <v>0.056514</v>
      </c>
      <c r="C91" s="3">
        <v>0.024621</v>
      </c>
    </row>
    <row r="92" ht="15.75" customHeight="1">
      <c r="A92" s="3">
        <v>0.066551</v>
      </c>
      <c r="B92" s="3">
        <v>0.058059</v>
      </c>
      <c r="C92" s="3">
        <v>0.032192</v>
      </c>
    </row>
    <row r="93" ht="15.75" customHeight="1">
      <c r="A93" s="3">
        <v>0.071993</v>
      </c>
      <c r="B93" s="3">
        <v>0.103225</v>
      </c>
      <c r="C93" s="3">
        <v>0.030261</v>
      </c>
    </row>
    <row r="94" ht="15.75" customHeight="1">
      <c r="A94" s="3">
        <v>0.062832</v>
      </c>
      <c r="B94" s="3">
        <v>0.057087</v>
      </c>
      <c r="C94" s="3">
        <v>0.033595</v>
      </c>
    </row>
    <row r="95" ht="15.75" customHeight="1">
      <c r="A95" s="3">
        <v>0.063166</v>
      </c>
      <c r="B95" s="3">
        <v>0.05343</v>
      </c>
      <c r="C95" s="3">
        <v>0.031493</v>
      </c>
    </row>
    <row r="96" ht="15.75" customHeight="1">
      <c r="A96" s="3">
        <v>0.061488</v>
      </c>
      <c r="B96" s="3">
        <v>0.066824</v>
      </c>
      <c r="C96" s="3">
        <v>0.030264</v>
      </c>
    </row>
    <row r="97" ht="15.75" customHeight="1">
      <c r="A97" s="3">
        <v>0.062605</v>
      </c>
      <c r="B97" s="3">
        <v>0.068393</v>
      </c>
      <c r="C97" s="3">
        <v>0.029086</v>
      </c>
    </row>
    <row r="98" ht="15.75" customHeight="1">
      <c r="A98" s="3">
        <v>0.070332</v>
      </c>
      <c r="B98" s="3">
        <v>0.054505</v>
      </c>
      <c r="C98" s="3">
        <v>0.029694</v>
      </c>
    </row>
    <row r="99" ht="15.75" customHeight="1">
      <c r="A99" s="3">
        <v>0.064632</v>
      </c>
      <c r="B99" s="3">
        <v>0.05097</v>
      </c>
      <c r="C99" s="3">
        <v>0.030377</v>
      </c>
    </row>
    <row r="100" ht="15.75" customHeight="1">
      <c r="A100" s="3">
        <v>0.065494</v>
      </c>
      <c r="B100" s="3">
        <v>0.052736</v>
      </c>
      <c r="C100" s="3">
        <v>0.030218</v>
      </c>
    </row>
    <row r="101" ht="15.75" customHeight="1">
      <c r="A101" s="3">
        <v>0.061214</v>
      </c>
      <c r="B101" s="3">
        <v>0.054533</v>
      </c>
      <c r="C101" s="3">
        <v>0.029596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1" t="s">
        <v>0</v>
      </c>
      <c r="G1" s="1" t="s">
        <v>1</v>
      </c>
      <c r="H1" s="1" t="s">
        <v>2</v>
      </c>
    </row>
    <row r="2">
      <c r="A2" s="3">
        <v>0.131949</v>
      </c>
      <c r="B2" s="3">
        <v>0.102282</v>
      </c>
      <c r="C2" s="3">
        <v>0.107629</v>
      </c>
      <c r="E2" s="2" t="s">
        <v>4</v>
      </c>
      <c r="F2" s="3">
        <f t="shared" ref="F2:H2" si="1">MIN(A2:A101)</f>
        <v>0.049654</v>
      </c>
      <c r="G2" s="3">
        <f t="shared" si="1"/>
        <v>0.082056</v>
      </c>
      <c r="H2" s="3">
        <f t="shared" si="1"/>
        <v>0.088114</v>
      </c>
    </row>
    <row r="3">
      <c r="A3" s="3">
        <v>0.15494</v>
      </c>
      <c r="B3" s="3">
        <v>0.102336</v>
      </c>
      <c r="C3" s="3">
        <v>0.102212</v>
      </c>
      <c r="E3" s="2" t="s">
        <v>5</v>
      </c>
      <c r="F3" s="3">
        <f t="shared" ref="F3:H3" si="2">MAX(A2:A101)</f>
        <v>0.359522</v>
      </c>
      <c r="G3" s="3">
        <f t="shared" si="2"/>
        <v>0.262144</v>
      </c>
      <c r="H3" s="3">
        <f t="shared" si="2"/>
        <v>0.118884</v>
      </c>
    </row>
    <row r="4">
      <c r="A4" s="3">
        <v>0.116455</v>
      </c>
      <c r="B4" s="3">
        <v>0.092842</v>
      </c>
      <c r="C4" s="3">
        <v>0.105749</v>
      </c>
      <c r="E4" s="2" t="s">
        <v>6</v>
      </c>
      <c r="F4" s="3">
        <f t="shared" ref="F4:H4" si="3">AVERAGE(A2:A101)</f>
        <v>0.11466187</v>
      </c>
      <c r="G4" s="3">
        <f t="shared" si="3"/>
        <v>0.1195066</v>
      </c>
      <c r="H4" s="3">
        <f t="shared" si="3"/>
        <v>0.10297537</v>
      </c>
    </row>
    <row r="5">
      <c r="A5" s="3">
        <v>0.119085</v>
      </c>
      <c r="B5" s="3">
        <v>0.092933</v>
      </c>
      <c r="C5" s="3">
        <v>0.107123</v>
      </c>
      <c r="E5" s="2" t="s">
        <v>7</v>
      </c>
      <c r="F5" s="3">
        <f t="shared" ref="F5:H5" si="4">_xlfn.STDEV.S(A2:A101)</f>
        <v>0.06510871439</v>
      </c>
      <c r="G5" s="3">
        <f t="shared" si="4"/>
        <v>0.04919558875</v>
      </c>
      <c r="H5" s="3">
        <f t="shared" si="4"/>
        <v>0.005839678915</v>
      </c>
    </row>
    <row r="6">
      <c r="A6" s="3">
        <v>0.117111</v>
      </c>
      <c r="B6" s="3">
        <v>0.099292</v>
      </c>
      <c r="C6" s="3">
        <v>0.106038</v>
      </c>
      <c r="E6" s="2" t="s">
        <v>8</v>
      </c>
      <c r="F6" s="4">
        <f t="shared" ref="F6:H6" si="5">F5/F4</f>
        <v>0.567832309</v>
      </c>
      <c r="G6" s="4">
        <f t="shared" si="5"/>
        <v>0.4116558312</v>
      </c>
      <c r="H6" s="4">
        <f t="shared" si="5"/>
        <v>0.05670947252</v>
      </c>
    </row>
    <row r="7">
      <c r="A7" s="3">
        <v>0.112508</v>
      </c>
      <c r="B7" s="3">
        <v>0.091482</v>
      </c>
      <c r="C7" s="3">
        <v>0.108186</v>
      </c>
    </row>
    <row r="8">
      <c r="A8" s="3">
        <v>0.115991</v>
      </c>
      <c r="B8" s="3">
        <v>0.097471</v>
      </c>
      <c r="C8" s="3">
        <v>0.112472</v>
      </c>
    </row>
    <row r="9">
      <c r="A9" s="3">
        <v>0.127778</v>
      </c>
      <c r="B9" s="3">
        <v>0.098786</v>
      </c>
      <c r="C9" s="3">
        <v>0.107689</v>
      </c>
    </row>
    <row r="10">
      <c r="A10" s="3">
        <v>0.115018</v>
      </c>
      <c r="B10" s="3">
        <v>0.097489</v>
      </c>
      <c r="C10" s="3">
        <v>0.100553</v>
      </c>
    </row>
    <row r="11">
      <c r="A11" s="3">
        <v>0.114851</v>
      </c>
      <c r="B11" s="3">
        <v>0.092466</v>
      </c>
      <c r="C11" s="3">
        <v>0.100095</v>
      </c>
    </row>
    <row r="12">
      <c r="A12" s="3">
        <v>0.138739</v>
      </c>
      <c r="B12" s="3">
        <v>0.262144</v>
      </c>
      <c r="C12" s="3">
        <v>0.100632</v>
      </c>
    </row>
    <row r="13">
      <c r="A13" s="3">
        <v>0.132989</v>
      </c>
      <c r="B13" s="3">
        <v>0.10823</v>
      </c>
      <c r="C13" s="3">
        <v>0.105192</v>
      </c>
    </row>
    <row r="14">
      <c r="A14" s="3">
        <v>0.1256</v>
      </c>
      <c r="B14" s="3">
        <v>0.106025</v>
      </c>
      <c r="C14" s="3">
        <v>0.108369</v>
      </c>
    </row>
    <row r="15">
      <c r="A15" s="3">
        <v>0.116588</v>
      </c>
      <c r="B15" s="3">
        <v>0.109424</v>
      </c>
      <c r="C15" s="3">
        <v>0.102808</v>
      </c>
    </row>
    <row r="16">
      <c r="A16" s="3">
        <v>0.124889</v>
      </c>
      <c r="B16" s="3">
        <v>0.108154</v>
      </c>
      <c r="C16" s="3">
        <v>0.118884</v>
      </c>
    </row>
    <row r="17">
      <c r="A17" s="3">
        <v>0.133741</v>
      </c>
      <c r="B17" s="3">
        <v>0.112539</v>
      </c>
      <c r="C17" s="3">
        <v>0.113733</v>
      </c>
    </row>
    <row r="18">
      <c r="A18" s="3">
        <v>0.127717</v>
      </c>
      <c r="B18" s="3">
        <v>0.106412</v>
      </c>
      <c r="C18" s="3">
        <v>0.103349</v>
      </c>
    </row>
    <row r="19">
      <c r="A19" s="3">
        <v>0.111475</v>
      </c>
      <c r="B19" s="3">
        <v>0.103548</v>
      </c>
      <c r="C19" s="3">
        <v>0.097572</v>
      </c>
    </row>
    <row r="20">
      <c r="A20" s="3">
        <v>0.114762</v>
      </c>
      <c r="B20" s="3">
        <v>0.101635</v>
      </c>
      <c r="C20" s="3">
        <v>0.105493</v>
      </c>
    </row>
    <row r="21" ht="15.75" customHeight="1">
      <c r="A21" s="3">
        <v>0.142893</v>
      </c>
      <c r="B21" s="3">
        <v>0.129518</v>
      </c>
      <c r="C21" s="3">
        <v>0.104328</v>
      </c>
    </row>
    <row r="22" ht="15.75" customHeight="1">
      <c r="A22" s="3">
        <v>0.116794</v>
      </c>
      <c r="B22" s="3">
        <v>0.105029</v>
      </c>
      <c r="C22" s="3">
        <v>0.101633</v>
      </c>
    </row>
    <row r="23" ht="15.75" customHeight="1">
      <c r="A23" s="3">
        <v>0.11315</v>
      </c>
      <c r="B23" s="3">
        <v>0.099108</v>
      </c>
      <c r="C23" s="3">
        <v>0.101388</v>
      </c>
    </row>
    <row r="24" ht="15.75" customHeight="1">
      <c r="A24" s="3">
        <v>0.117501</v>
      </c>
      <c r="B24" s="3">
        <v>0.113379</v>
      </c>
      <c r="C24" s="3">
        <v>0.109799</v>
      </c>
    </row>
    <row r="25" ht="15.75" customHeight="1">
      <c r="A25" s="3">
        <v>0.116719</v>
      </c>
      <c r="B25" s="3">
        <v>0.104297</v>
      </c>
      <c r="C25" s="3">
        <v>0.110055</v>
      </c>
    </row>
    <row r="26" ht="15.75" customHeight="1">
      <c r="A26" s="3">
        <v>0.127292</v>
      </c>
      <c r="B26" s="3">
        <v>0.106241</v>
      </c>
      <c r="C26" s="3">
        <v>0.108392</v>
      </c>
    </row>
    <row r="27" ht="15.75" customHeight="1">
      <c r="A27" s="3">
        <v>0.127505</v>
      </c>
      <c r="B27" s="3">
        <v>0.101827</v>
      </c>
      <c r="C27" s="3">
        <v>0.111098</v>
      </c>
    </row>
    <row r="28" ht="15.75" customHeight="1">
      <c r="A28" s="3">
        <v>0.116285</v>
      </c>
      <c r="B28" s="3">
        <v>0.102416</v>
      </c>
      <c r="C28" s="3">
        <v>0.111125</v>
      </c>
    </row>
    <row r="29" ht="15.75" customHeight="1">
      <c r="A29" s="3">
        <v>0.117527</v>
      </c>
      <c r="B29" s="3">
        <v>0.128281</v>
      </c>
      <c r="C29" s="3">
        <v>0.108181</v>
      </c>
    </row>
    <row r="30" ht="15.75" customHeight="1">
      <c r="A30" s="3">
        <v>0.109536</v>
      </c>
      <c r="B30" s="3">
        <v>0.12264</v>
      </c>
      <c r="C30" s="3">
        <v>0.108659</v>
      </c>
    </row>
    <row r="31" ht="15.75" customHeight="1">
      <c r="A31" s="3">
        <v>0.123343</v>
      </c>
      <c r="B31" s="3">
        <v>0.088819</v>
      </c>
      <c r="C31" s="3">
        <v>0.109934</v>
      </c>
    </row>
    <row r="32" ht="15.75" customHeight="1">
      <c r="A32" s="3">
        <v>0.101599</v>
      </c>
      <c r="B32" s="3">
        <v>0.087439</v>
      </c>
      <c r="C32" s="3">
        <v>0.104974</v>
      </c>
    </row>
    <row r="33" ht="15.75" customHeight="1">
      <c r="A33" s="3">
        <v>0.106265</v>
      </c>
      <c r="B33" s="3">
        <v>0.091215</v>
      </c>
      <c r="C33" s="3">
        <v>0.103237</v>
      </c>
    </row>
    <row r="34" ht="15.75" customHeight="1">
      <c r="A34" s="3">
        <v>0.097198</v>
      </c>
      <c r="B34" s="3">
        <v>0.089318</v>
      </c>
      <c r="C34" s="3">
        <v>0.093085</v>
      </c>
    </row>
    <row r="35" ht="15.75" customHeight="1">
      <c r="A35" s="3">
        <v>0.105491</v>
      </c>
      <c r="B35" s="3">
        <v>0.09627</v>
      </c>
      <c r="C35" s="3">
        <v>0.102283</v>
      </c>
    </row>
    <row r="36" ht="15.75" customHeight="1">
      <c r="A36" s="3">
        <v>0.100384</v>
      </c>
      <c r="B36" s="3">
        <v>0.097735</v>
      </c>
      <c r="C36" s="3">
        <v>0.106634</v>
      </c>
    </row>
    <row r="37" ht="15.75" customHeight="1">
      <c r="A37" s="3">
        <v>0.102455</v>
      </c>
      <c r="B37" s="3">
        <v>0.08897</v>
      </c>
      <c r="C37" s="3">
        <v>0.10879</v>
      </c>
    </row>
    <row r="38" ht="15.75" customHeight="1">
      <c r="A38" s="3">
        <v>0.102</v>
      </c>
      <c r="B38" s="3">
        <v>0.098535</v>
      </c>
      <c r="C38" s="3">
        <v>0.106125</v>
      </c>
    </row>
    <row r="39" ht="15.75" customHeight="1">
      <c r="A39" s="3">
        <v>0.115865</v>
      </c>
      <c r="B39" s="3">
        <v>0.098305</v>
      </c>
      <c r="C39" s="3">
        <v>0.109442</v>
      </c>
    </row>
    <row r="40" ht="15.75" customHeight="1">
      <c r="A40" s="3">
        <v>0.103279</v>
      </c>
      <c r="B40" s="3">
        <v>0.09889</v>
      </c>
      <c r="C40" s="3">
        <v>0.108279</v>
      </c>
    </row>
    <row r="41" ht="15.75" customHeight="1">
      <c r="A41" s="3">
        <v>0.098048</v>
      </c>
      <c r="B41" s="3">
        <v>0.096339</v>
      </c>
      <c r="C41" s="3">
        <v>0.107474</v>
      </c>
    </row>
    <row r="42" ht="15.75" customHeight="1">
      <c r="A42" s="3">
        <v>0.10408</v>
      </c>
      <c r="B42" s="3">
        <v>0.09175</v>
      </c>
      <c r="C42" s="3">
        <v>0.10828</v>
      </c>
    </row>
    <row r="43" ht="15.75" customHeight="1">
      <c r="A43" s="3">
        <v>0.102108</v>
      </c>
      <c r="B43" s="3">
        <v>0.089638</v>
      </c>
      <c r="C43" s="3">
        <v>0.100093</v>
      </c>
    </row>
    <row r="44" ht="15.75" customHeight="1">
      <c r="A44" s="3">
        <v>0.108095</v>
      </c>
      <c r="B44" s="3">
        <v>0.094129</v>
      </c>
      <c r="C44" s="3">
        <v>0.104249</v>
      </c>
    </row>
    <row r="45" ht="15.75" customHeight="1">
      <c r="A45" s="3">
        <v>0.091013</v>
      </c>
      <c r="B45" s="3">
        <v>0.234758</v>
      </c>
      <c r="C45" s="3">
        <v>0.088114</v>
      </c>
    </row>
    <row r="46" ht="15.75" customHeight="1">
      <c r="A46" s="3">
        <v>0.240793</v>
      </c>
      <c r="B46" s="3">
        <v>0.216996</v>
      </c>
      <c r="C46" s="3">
        <v>0.102116</v>
      </c>
    </row>
    <row r="47" ht="15.75" customHeight="1">
      <c r="A47" s="3">
        <v>0.239511</v>
      </c>
      <c r="B47" s="3">
        <v>0.21179</v>
      </c>
      <c r="C47" s="3">
        <v>0.096557</v>
      </c>
    </row>
    <row r="48" ht="15.75" customHeight="1">
      <c r="A48" s="3">
        <v>0.23179</v>
      </c>
      <c r="B48" s="3">
        <v>0.212551</v>
      </c>
      <c r="C48" s="3">
        <v>0.092455</v>
      </c>
    </row>
    <row r="49" ht="15.75" customHeight="1">
      <c r="A49" s="3">
        <v>0.359522</v>
      </c>
      <c r="B49" s="3">
        <v>0.217664</v>
      </c>
      <c r="C49" s="3">
        <v>0.101042</v>
      </c>
    </row>
    <row r="50" ht="15.75" customHeight="1">
      <c r="A50" s="3">
        <v>0.228336</v>
      </c>
      <c r="B50" s="3">
        <v>0.217264</v>
      </c>
      <c r="C50" s="3">
        <v>0.093246</v>
      </c>
    </row>
    <row r="51" ht="15.75" customHeight="1">
      <c r="A51" s="3">
        <v>0.22105</v>
      </c>
      <c r="B51" s="3">
        <v>0.210695</v>
      </c>
      <c r="C51" s="3">
        <v>0.091153</v>
      </c>
    </row>
    <row r="52" ht="15.75" customHeight="1">
      <c r="A52" s="3">
        <v>0.23418</v>
      </c>
      <c r="B52" s="3">
        <v>0.211377</v>
      </c>
      <c r="C52" s="3">
        <v>0.090922</v>
      </c>
    </row>
    <row r="53" ht="15.75" customHeight="1">
      <c r="A53" s="3">
        <v>0.233319</v>
      </c>
      <c r="B53" s="3">
        <v>0.216292</v>
      </c>
      <c r="C53" s="3">
        <v>0.098192</v>
      </c>
    </row>
    <row r="54" ht="15.75" customHeight="1">
      <c r="A54" s="3">
        <v>0.22529</v>
      </c>
      <c r="B54" s="3">
        <v>0.230459</v>
      </c>
      <c r="C54" s="3">
        <v>0.092562</v>
      </c>
    </row>
    <row r="55" ht="15.75" customHeight="1">
      <c r="A55" s="3">
        <v>0.234698</v>
      </c>
      <c r="B55" s="3">
        <v>0.225457</v>
      </c>
      <c r="C55" s="3">
        <v>0.095684</v>
      </c>
    </row>
    <row r="56" ht="15.75" customHeight="1">
      <c r="A56" s="3">
        <v>0.248276</v>
      </c>
      <c r="B56" s="3">
        <v>0.215414</v>
      </c>
      <c r="C56" s="3">
        <v>0.101834</v>
      </c>
    </row>
    <row r="57" ht="15.75" customHeight="1">
      <c r="A57" s="3">
        <v>0.240532</v>
      </c>
      <c r="B57" s="3">
        <v>0.215178</v>
      </c>
      <c r="C57" s="3">
        <v>0.102726</v>
      </c>
    </row>
    <row r="58" ht="15.75" customHeight="1">
      <c r="A58" s="3">
        <v>0.235342</v>
      </c>
      <c r="B58" s="3">
        <v>0.232774</v>
      </c>
      <c r="C58" s="3">
        <v>0.096349</v>
      </c>
    </row>
    <row r="59" ht="15.75" customHeight="1">
      <c r="A59" s="3">
        <v>0.23533</v>
      </c>
      <c r="B59" s="3">
        <v>0.220665</v>
      </c>
      <c r="C59" s="3">
        <v>0.09453</v>
      </c>
    </row>
    <row r="60" ht="15.75" customHeight="1">
      <c r="A60" s="3">
        <v>0.253803</v>
      </c>
      <c r="B60" s="3">
        <v>0.222247</v>
      </c>
      <c r="C60" s="3">
        <v>0.095336</v>
      </c>
    </row>
    <row r="61" ht="15.75" customHeight="1">
      <c r="A61" s="3">
        <v>0.241672</v>
      </c>
      <c r="B61" s="3">
        <v>0.220376</v>
      </c>
      <c r="C61" s="3">
        <v>0.092165</v>
      </c>
    </row>
    <row r="62" ht="15.75" customHeight="1">
      <c r="A62" s="3">
        <v>0.174323</v>
      </c>
      <c r="B62" s="3">
        <v>0.111664</v>
      </c>
      <c r="C62" s="3">
        <v>0.102579</v>
      </c>
    </row>
    <row r="63" ht="15.75" customHeight="1">
      <c r="A63" s="3">
        <v>0.063361</v>
      </c>
      <c r="B63" s="3">
        <v>0.093094</v>
      </c>
      <c r="C63" s="3">
        <v>0.105953</v>
      </c>
    </row>
    <row r="64" ht="15.75" customHeight="1">
      <c r="A64" s="3">
        <v>0.058528</v>
      </c>
      <c r="B64" s="3">
        <v>0.095656</v>
      </c>
      <c r="C64" s="3">
        <v>0.106128</v>
      </c>
    </row>
    <row r="65" ht="15.75" customHeight="1">
      <c r="A65" s="3">
        <v>0.068778</v>
      </c>
      <c r="B65" s="3">
        <v>0.101285</v>
      </c>
      <c r="C65" s="3">
        <v>0.105216</v>
      </c>
    </row>
    <row r="66" ht="15.75" customHeight="1">
      <c r="A66" s="3">
        <v>0.068232</v>
      </c>
      <c r="B66" s="3">
        <v>0.102711</v>
      </c>
      <c r="C66" s="3">
        <v>0.103161</v>
      </c>
    </row>
    <row r="67" ht="15.75" customHeight="1">
      <c r="A67" s="3">
        <v>0.056902</v>
      </c>
      <c r="B67" s="3">
        <v>0.090642</v>
      </c>
      <c r="C67" s="3">
        <v>0.109243</v>
      </c>
    </row>
    <row r="68" ht="15.75" customHeight="1">
      <c r="A68" s="3">
        <v>0.056895</v>
      </c>
      <c r="B68" s="3">
        <v>0.101392</v>
      </c>
      <c r="C68" s="3">
        <v>0.102787</v>
      </c>
    </row>
    <row r="69" ht="15.75" customHeight="1">
      <c r="A69" s="3">
        <v>0.061852</v>
      </c>
      <c r="B69" s="3">
        <v>0.094444</v>
      </c>
      <c r="C69" s="3">
        <v>0.108293</v>
      </c>
    </row>
    <row r="70" ht="15.75" customHeight="1">
      <c r="A70" s="3">
        <v>0.058278</v>
      </c>
      <c r="B70" s="3">
        <v>0.090213</v>
      </c>
      <c r="C70" s="3">
        <v>0.105817</v>
      </c>
    </row>
    <row r="71" ht="15.75" customHeight="1">
      <c r="A71" s="3">
        <v>0.060774</v>
      </c>
      <c r="B71" s="3">
        <v>0.096364</v>
      </c>
      <c r="C71" s="3">
        <v>0.103661</v>
      </c>
    </row>
    <row r="72" ht="15.75" customHeight="1">
      <c r="A72" s="3">
        <v>0.06129</v>
      </c>
      <c r="B72" s="3">
        <v>0.091905</v>
      </c>
      <c r="C72" s="3">
        <v>0.100529</v>
      </c>
    </row>
    <row r="73" ht="15.75" customHeight="1">
      <c r="A73" s="3">
        <v>0.054735</v>
      </c>
      <c r="B73" s="3">
        <v>0.09605</v>
      </c>
      <c r="C73" s="3">
        <v>0.104777</v>
      </c>
    </row>
    <row r="74" ht="15.75" customHeight="1">
      <c r="A74" s="3">
        <v>0.055952</v>
      </c>
      <c r="B74" s="3">
        <v>0.091201</v>
      </c>
      <c r="C74" s="3">
        <v>0.099345</v>
      </c>
    </row>
    <row r="75" ht="15.75" customHeight="1">
      <c r="A75" s="3">
        <v>0.059596</v>
      </c>
      <c r="B75" s="3">
        <v>0.089584</v>
      </c>
      <c r="C75" s="3">
        <v>0.101693</v>
      </c>
    </row>
    <row r="76" ht="15.75" customHeight="1">
      <c r="A76" s="3">
        <v>0.057567</v>
      </c>
      <c r="B76" s="3">
        <v>0.088201</v>
      </c>
      <c r="C76" s="3">
        <v>0.101535</v>
      </c>
    </row>
    <row r="77" ht="15.75" customHeight="1">
      <c r="A77" s="3">
        <v>0.053809</v>
      </c>
      <c r="B77" s="3">
        <v>0.091055</v>
      </c>
      <c r="C77" s="3">
        <v>0.103277</v>
      </c>
    </row>
    <row r="78" ht="15.75" customHeight="1">
      <c r="A78" s="3">
        <v>0.053968</v>
      </c>
      <c r="B78" s="3">
        <v>0.087218</v>
      </c>
      <c r="C78" s="3">
        <v>0.100465</v>
      </c>
    </row>
    <row r="79" ht="15.75" customHeight="1">
      <c r="A79" s="3">
        <v>0.061264</v>
      </c>
      <c r="B79" s="3">
        <v>0.092135</v>
      </c>
      <c r="C79" s="3">
        <v>0.100809</v>
      </c>
    </row>
    <row r="80" ht="15.75" customHeight="1">
      <c r="A80" s="3">
        <v>0.053105</v>
      </c>
      <c r="B80" s="3">
        <v>0.091276</v>
      </c>
      <c r="C80" s="3">
        <v>0.104672</v>
      </c>
    </row>
    <row r="81" ht="15.75" customHeight="1">
      <c r="A81" s="3">
        <v>0.055018</v>
      </c>
      <c r="B81" s="3">
        <v>0.091136</v>
      </c>
      <c r="C81" s="3">
        <v>0.10113</v>
      </c>
    </row>
    <row r="82" ht="15.75" customHeight="1">
      <c r="A82" s="3">
        <v>0.056816</v>
      </c>
      <c r="B82" s="3">
        <v>0.088974</v>
      </c>
      <c r="C82" s="3">
        <v>0.102864</v>
      </c>
    </row>
    <row r="83" ht="15.75" customHeight="1">
      <c r="A83" s="3">
        <v>0.055177</v>
      </c>
      <c r="B83" s="3">
        <v>0.087602</v>
      </c>
      <c r="C83" s="3">
        <v>0.104282</v>
      </c>
    </row>
    <row r="84" ht="15.75" customHeight="1">
      <c r="A84" s="3">
        <v>0.052695</v>
      </c>
      <c r="B84" s="3">
        <v>0.099063</v>
      </c>
      <c r="C84" s="3">
        <v>0.103395</v>
      </c>
    </row>
    <row r="85" ht="15.75" customHeight="1">
      <c r="A85" s="3">
        <v>0.057137</v>
      </c>
      <c r="B85" s="3">
        <v>0.091187</v>
      </c>
      <c r="C85" s="3">
        <v>0.103366</v>
      </c>
    </row>
    <row r="86" ht="15.75" customHeight="1">
      <c r="A86" s="3">
        <v>0.052269</v>
      </c>
      <c r="B86" s="3">
        <v>0.092711</v>
      </c>
      <c r="C86" s="3">
        <v>0.10135</v>
      </c>
    </row>
    <row r="87" ht="15.75" customHeight="1">
      <c r="A87" s="3">
        <v>0.059722</v>
      </c>
      <c r="B87" s="3">
        <v>0.087135</v>
      </c>
      <c r="C87" s="3">
        <v>0.089764</v>
      </c>
    </row>
    <row r="88" ht="15.75" customHeight="1">
      <c r="A88" s="3">
        <v>0.055688</v>
      </c>
      <c r="B88" s="3">
        <v>0.103188</v>
      </c>
      <c r="C88" s="3">
        <v>0.097018</v>
      </c>
    </row>
    <row r="89" ht="15.75" customHeight="1">
      <c r="A89" s="3">
        <v>0.056019</v>
      </c>
      <c r="B89" s="3">
        <v>0.10334</v>
      </c>
      <c r="C89" s="3">
        <v>0.090547</v>
      </c>
    </row>
    <row r="90" ht="15.75" customHeight="1">
      <c r="A90" s="3">
        <v>0.074379</v>
      </c>
      <c r="B90" s="3">
        <v>0.087616</v>
      </c>
      <c r="C90" s="3">
        <v>0.104172</v>
      </c>
    </row>
    <row r="91" ht="15.75" customHeight="1">
      <c r="A91" s="3">
        <v>0.054527</v>
      </c>
      <c r="B91" s="3">
        <v>0.089077</v>
      </c>
      <c r="C91" s="3">
        <v>0.104116</v>
      </c>
    </row>
    <row r="92" ht="15.75" customHeight="1">
      <c r="A92" s="3">
        <v>0.05723</v>
      </c>
      <c r="B92" s="3">
        <v>0.08913</v>
      </c>
      <c r="C92" s="3">
        <v>0.104176</v>
      </c>
    </row>
    <row r="93" ht="15.75" customHeight="1">
      <c r="A93" s="3">
        <v>0.052343</v>
      </c>
      <c r="B93" s="3">
        <v>0.087638</v>
      </c>
      <c r="C93" s="3">
        <v>0.100059</v>
      </c>
    </row>
    <row r="94" ht="15.75" customHeight="1">
      <c r="A94" s="3">
        <v>0.068498</v>
      </c>
      <c r="B94" s="3">
        <v>0.089134</v>
      </c>
      <c r="C94" s="3">
        <v>0.099056</v>
      </c>
    </row>
    <row r="95" ht="15.75" customHeight="1">
      <c r="A95" s="3">
        <v>0.053962</v>
      </c>
      <c r="B95" s="3">
        <v>0.094368</v>
      </c>
      <c r="C95" s="3">
        <v>0.099049</v>
      </c>
    </row>
    <row r="96" ht="15.75" customHeight="1">
      <c r="A96" s="3">
        <v>0.052546</v>
      </c>
      <c r="B96" s="3">
        <v>0.082056</v>
      </c>
      <c r="C96" s="3">
        <v>0.100488</v>
      </c>
    </row>
    <row r="97" ht="15.75" customHeight="1">
      <c r="A97" s="3">
        <v>0.051764</v>
      </c>
      <c r="B97" s="3">
        <v>0.086707</v>
      </c>
      <c r="C97" s="3">
        <v>0.112514</v>
      </c>
    </row>
    <row r="98" ht="15.75" customHeight="1">
      <c r="A98" s="3">
        <v>0.0503</v>
      </c>
      <c r="B98" s="3">
        <v>0.103103</v>
      </c>
      <c r="C98" s="3">
        <v>0.104425</v>
      </c>
    </row>
    <row r="99" ht="15.75" customHeight="1">
      <c r="A99" s="3">
        <v>0.059816</v>
      </c>
      <c r="B99" s="3">
        <v>0.089153</v>
      </c>
      <c r="C99" s="3">
        <v>0.103928</v>
      </c>
    </row>
    <row r="100" ht="15.75" customHeight="1">
      <c r="A100" s="3">
        <v>0.079363</v>
      </c>
      <c r="B100" s="3">
        <v>0.091401</v>
      </c>
      <c r="C100" s="3">
        <v>0.11572</v>
      </c>
    </row>
    <row r="101" ht="15.75" customHeight="1">
      <c r="A101" s="3">
        <v>0.049654</v>
      </c>
      <c r="B101" s="3">
        <v>0.083316</v>
      </c>
      <c r="C101" s="3">
        <v>0.09988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1" t="s">
        <v>0</v>
      </c>
      <c r="G1" s="1" t="s">
        <v>1</v>
      </c>
      <c r="H1" s="1" t="s">
        <v>2</v>
      </c>
    </row>
    <row r="2">
      <c r="A2" s="3">
        <v>0.102559</v>
      </c>
      <c r="B2" s="3">
        <v>0.166153</v>
      </c>
      <c r="C2" s="3">
        <v>0.375808</v>
      </c>
      <c r="E2" s="2" t="s">
        <v>4</v>
      </c>
      <c r="F2" s="3">
        <f t="shared" ref="F2:H2" si="1">MIN(A2:A101)</f>
        <v>0.064802</v>
      </c>
      <c r="G2" s="3">
        <f t="shared" si="1"/>
        <v>0.081446</v>
      </c>
      <c r="H2" s="3">
        <f t="shared" si="1"/>
        <v>0.289744</v>
      </c>
    </row>
    <row r="3">
      <c r="A3" s="3">
        <v>0.100139</v>
      </c>
      <c r="B3" s="3">
        <v>0.169662</v>
      </c>
      <c r="C3" s="3">
        <v>0.378571</v>
      </c>
      <c r="E3" s="2" t="s">
        <v>5</v>
      </c>
      <c r="F3" s="3">
        <f t="shared" ref="F3:H3" si="2">MAX(A2:A101)</f>
        <v>0.129151</v>
      </c>
      <c r="G3" s="3">
        <f t="shared" si="2"/>
        <v>0.315973</v>
      </c>
      <c r="H3" s="3">
        <f t="shared" si="2"/>
        <v>0.398624</v>
      </c>
    </row>
    <row r="4">
      <c r="A4" s="3">
        <v>0.098368</v>
      </c>
      <c r="B4" s="3">
        <v>0.157681</v>
      </c>
      <c r="C4" s="3">
        <v>0.335872</v>
      </c>
      <c r="E4" s="2" t="s">
        <v>6</v>
      </c>
      <c r="F4" s="3">
        <f t="shared" ref="F4:H4" si="3">AVERAGE(A2:A101)</f>
        <v>0.09032157</v>
      </c>
      <c r="G4" s="3">
        <f t="shared" si="3"/>
        <v>0.12552118</v>
      </c>
      <c r="H4" s="3">
        <f t="shared" si="3"/>
        <v>0.36110831</v>
      </c>
    </row>
    <row r="5">
      <c r="A5" s="3">
        <v>0.105659</v>
      </c>
      <c r="B5" s="3">
        <v>0.173545</v>
      </c>
      <c r="C5" s="3">
        <v>0.374056</v>
      </c>
      <c r="E5" s="2" t="s">
        <v>7</v>
      </c>
      <c r="F5" s="3">
        <f t="shared" ref="F5:H5" si="4">_xlfn.STDEV.S(A2:A101)</f>
        <v>0.01055883512</v>
      </c>
      <c r="G5" s="3">
        <f t="shared" si="4"/>
        <v>0.03486495475</v>
      </c>
      <c r="H5" s="3">
        <f t="shared" si="4"/>
        <v>0.01856180268</v>
      </c>
    </row>
    <row r="6">
      <c r="A6" s="3">
        <v>0.103082</v>
      </c>
      <c r="B6" s="3">
        <v>0.165498</v>
      </c>
      <c r="C6" s="3">
        <v>0.380585</v>
      </c>
      <c r="E6" s="2" t="s">
        <v>8</v>
      </c>
      <c r="F6" s="4">
        <f t="shared" ref="F6:H6" si="5">F5/F4</f>
        <v>0.1169026968</v>
      </c>
      <c r="G6" s="4">
        <f t="shared" si="5"/>
        <v>0.277761528</v>
      </c>
      <c r="H6" s="4">
        <f t="shared" si="5"/>
        <v>0.05140231383</v>
      </c>
    </row>
    <row r="7">
      <c r="A7" s="3">
        <v>0.094875</v>
      </c>
      <c r="B7" s="3">
        <v>0.164747</v>
      </c>
      <c r="C7" s="3">
        <v>0.381312</v>
      </c>
    </row>
    <row r="8">
      <c r="A8" s="3">
        <v>0.095771</v>
      </c>
      <c r="B8" s="3">
        <v>0.169068</v>
      </c>
      <c r="C8" s="3">
        <v>0.378051</v>
      </c>
    </row>
    <row r="9">
      <c r="A9" s="3">
        <v>0.099767</v>
      </c>
      <c r="B9" s="3">
        <v>0.165962</v>
      </c>
      <c r="C9" s="3">
        <v>0.376455</v>
      </c>
    </row>
    <row r="10">
      <c r="A10" s="3">
        <v>0.096254</v>
      </c>
      <c r="B10" s="3">
        <v>0.171488</v>
      </c>
      <c r="C10" s="3">
        <v>0.374429</v>
      </c>
    </row>
    <row r="11">
      <c r="A11" s="3">
        <v>0.100801</v>
      </c>
      <c r="B11" s="3">
        <v>0.170064</v>
      </c>
      <c r="C11" s="3">
        <v>0.389019</v>
      </c>
    </row>
    <row r="12">
      <c r="A12" s="3">
        <v>0.098748</v>
      </c>
      <c r="B12" s="3">
        <v>0.172026</v>
      </c>
      <c r="C12" s="3">
        <v>0.330576</v>
      </c>
    </row>
    <row r="13">
      <c r="A13" s="3">
        <v>0.108554</v>
      </c>
      <c r="B13" s="3">
        <v>0.155761</v>
      </c>
      <c r="C13" s="3">
        <v>0.289744</v>
      </c>
    </row>
    <row r="14">
      <c r="A14" s="3">
        <v>0.087535</v>
      </c>
      <c r="B14" s="3">
        <v>0.15214</v>
      </c>
      <c r="C14" s="3">
        <v>0.368263</v>
      </c>
    </row>
    <row r="15">
      <c r="A15" s="3">
        <v>0.098248</v>
      </c>
      <c r="B15" s="3">
        <v>0.163174</v>
      </c>
      <c r="C15" s="3">
        <v>0.36311</v>
      </c>
    </row>
    <row r="16">
      <c r="A16" s="3">
        <v>0.094181</v>
      </c>
      <c r="B16" s="3">
        <v>0.315973</v>
      </c>
      <c r="C16" s="3">
        <v>0.379154</v>
      </c>
    </row>
    <row r="17">
      <c r="A17" s="3">
        <v>0.095263</v>
      </c>
      <c r="B17" s="3">
        <v>0.163547</v>
      </c>
      <c r="C17" s="3">
        <v>0.379837</v>
      </c>
    </row>
    <row r="18">
      <c r="A18" s="3">
        <v>0.097505</v>
      </c>
      <c r="B18" s="3">
        <v>0.185104</v>
      </c>
      <c r="C18" s="3">
        <v>0.350091</v>
      </c>
    </row>
    <row r="19">
      <c r="A19" s="3">
        <v>0.095045</v>
      </c>
      <c r="B19" s="3">
        <v>0.161945</v>
      </c>
      <c r="C19" s="3">
        <v>0.36837</v>
      </c>
    </row>
    <row r="20">
      <c r="A20" s="3">
        <v>0.091847</v>
      </c>
      <c r="B20" s="3">
        <v>0.162097</v>
      </c>
      <c r="C20" s="3">
        <v>0.365287</v>
      </c>
    </row>
    <row r="21" ht="15.75" customHeight="1">
      <c r="A21" s="3">
        <v>0.090058</v>
      </c>
      <c r="B21" s="3">
        <v>0.154829</v>
      </c>
      <c r="C21" s="3">
        <v>0.347954</v>
      </c>
    </row>
    <row r="22" ht="15.75" customHeight="1">
      <c r="A22" s="3">
        <v>0.086772</v>
      </c>
      <c r="B22" s="3">
        <v>0.16048</v>
      </c>
      <c r="C22" s="3">
        <v>0.350134</v>
      </c>
    </row>
    <row r="23" ht="15.75" customHeight="1">
      <c r="A23" s="3">
        <v>0.090992</v>
      </c>
      <c r="B23" s="3">
        <v>0.191985</v>
      </c>
      <c r="C23" s="3">
        <v>0.354896</v>
      </c>
    </row>
    <row r="24" ht="15.75" customHeight="1">
      <c r="A24" s="3">
        <v>0.09177</v>
      </c>
      <c r="B24" s="3">
        <v>0.162339</v>
      </c>
      <c r="C24" s="3">
        <v>0.359661</v>
      </c>
    </row>
    <row r="25" ht="15.75" customHeight="1">
      <c r="A25" s="3">
        <v>0.10182</v>
      </c>
      <c r="B25" s="3">
        <v>0.163022</v>
      </c>
      <c r="C25" s="3">
        <v>0.386128</v>
      </c>
    </row>
    <row r="26" ht="15.75" customHeight="1">
      <c r="A26" s="3">
        <v>0.094328</v>
      </c>
      <c r="B26" s="3">
        <v>0.159215</v>
      </c>
      <c r="C26" s="3">
        <v>0.384118</v>
      </c>
    </row>
    <row r="27" ht="15.75" customHeight="1">
      <c r="A27" s="3">
        <v>0.095632</v>
      </c>
      <c r="B27" s="3">
        <v>0.165855</v>
      </c>
      <c r="C27" s="3">
        <v>0.384369</v>
      </c>
    </row>
    <row r="28" ht="15.75" customHeight="1">
      <c r="A28" s="3">
        <v>0.116705</v>
      </c>
      <c r="B28" s="3">
        <v>0.12514</v>
      </c>
      <c r="C28" s="3">
        <v>0.394725</v>
      </c>
    </row>
    <row r="29" ht="15.75" customHeight="1">
      <c r="A29" s="3">
        <v>0.087734</v>
      </c>
      <c r="B29" s="3">
        <v>0.107556</v>
      </c>
      <c r="C29" s="3">
        <v>0.395677</v>
      </c>
    </row>
    <row r="30" ht="15.75" customHeight="1">
      <c r="A30" s="3">
        <v>0.083912</v>
      </c>
      <c r="B30" s="3">
        <v>0.105696</v>
      </c>
      <c r="C30" s="3">
        <v>0.391474</v>
      </c>
    </row>
    <row r="31" ht="15.75" customHeight="1">
      <c r="A31" s="3">
        <v>0.086565</v>
      </c>
      <c r="B31" s="3">
        <v>0.117047</v>
      </c>
      <c r="C31" s="3">
        <v>0.391284</v>
      </c>
    </row>
    <row r="32" ht="15.75" customHeight="1">
      <c r="A32" s="3">
        <v>0.088163</v>
      </c>
      <c r="B32" s="3">
        <v>0.106196</v>
      </c>
      <c r="C32" s="3">
        <v>0.389793</v>
      </c>
    </row>
    <row r="33" ht="15.75" customHeight="1">
      <c r="A33" s="3">
        <v>0.087471</v>
      </c>
      <c r="B33" s="3">
        <v>0.10424</v>
      </c>
      <c r="C33" s="3">
        <v>0.395452</v>
      </c>
    </row>
    <row r="34" ht="15.75" customHeight="1">
      <c r="A34" s="3">
        <v>0.089285</v>
      </c>
      <c r="B34" s="3">
        <v>0.109904</v>
      </c>
      <c r="C34" s="3">
        <v>0.398624</v>
      </c>
    </row>
    <row r="35" ht="15.75" customHeight="1">
      <c r="A35" s="3">
        <v>0.081684</v>
      </c>
      <c r="B35" s="3">
        <v>0.104698</v>
      </c>
      <c r="C35" s="3">
        <v>0.391248</v>
      </c>
    </row>
    <row r="36" ht="15.75" customHeight="1">
      <c r="A36" s="3">
        <v>0.129151</v>
      </c>
      <c r="B36" s="3">
        <v>0.110418</v>
      </c>
      <c r="C36" s="3">
        <v>0.382662</v>
      </c>
    </row>
    <row r="37" ht="15.75" customHeight="1">
      <c r="A37" s="3">
        <v>0.085905</v>
      </c>
      <c r="B37" s="3">
        <v>0.107415</v>
      </c>
      <c r="C37" s="3">
        <v>0.384167</v>
      </c>
    </row>
    <row r="38" ht="15.75" customHeight="1">
      <c r="A38" s="3">
        <v>0.08025</v>
      </c>
      <c r="B38" s="3">
        <v>0.097181</v>
      </c>
      <c r="C38" s="3">
        <v>0.358754</v>
      </c>
    </row>
    <row r="39" ht="15.75" customHeight="1">
      <c r="A39" s="3">
        <v>0.084449</v>
      </c>
      <c r="B39" s="3">
        <v>0.103548</v>
      </c>
      <c r="C39" s="3">
        <v>0.368706</v>
      </c>
    </row>
    <row r="40" ht="15.75" customHeight="1">
      <c r="A40" s="3">
        <v>0.083539</v>
      </c>
      <c r="B40" s="3">
        <v>0.106319</v>
      </c>
      <c r="C40" s="3">
        <v>0.359024</v>
      </c>
    </row>
    <row r="41" ht="15.75" customHeight="1">
      <c r="A41" s="3">
        <v>0.076285</v>
      </c>
      <c r="B41" s="3">
        <v>0.106147</v>
      </c>
      <c r="C41" s="3">
        <v>0.355634</v>
      </c>
    </row>
    <row r="42" ht="15.75" customHeight="1">
      <c r="A42" s="3">
        <v>0.08014</v>
      </c>
      <c r="B42" s="3">
        <v>0.098235</v>
      </c>
      <c r="C42" s="3">
        <v>0.354261</v>
      </c>
    </row>
    <row r="43" ht="15.75" customHeight="1">
      <c r="A43" s="3">
        <v>0.082585</v>
      </c>
      <c r="B43" s="3">
        <v>0.098653</v>
      </c>
      <c r="C43" s="3">
        <v>0.360908</v>
      </c>
    </row>
    <row r="44" ht="15.75" customHeight="1">
      <c r="A44" s="3">
        <v>0.080572</v>
      </c>
      <c r="B44" s="3">
        <v>0.107124</v>
      </c>
      <c r="C44" s="3">
        <v>0.360315</v>
      </c>
    </row>
    <row r="45" ht="15.75" customHeight="1">
      <c r="A45" s="3">
        <v>0.083629</v>
      </c>
      <c r="B45" s="3">
        <v>0.105309</v>
      </c>
      <c r="C45" s="3">
        <v>0.362552</v>
      </c>
    </row>
    <row r="46" ht="15.75" customHeight="1">
      <c r="A46" s="3">
        <v>0.080817</v>
      </c>
      <c r="B46" s="3">
        <v>0.100324</v>
      </c>
      <c r="C46" s="3">
        <v>0.360808</v>
      </c>
    </row>
    <row r="47" ht="15.75" customHeight="1">
      <c r="A47" s="3">
        <v>0.080902</v>
      </c>
      <c r="B47" s="3">
        <v>0.101264</v>
      </c>
      <c r="C47" s="3">
        <v>0.363561</v>
      </c>
    </row>
    <row r="48" ht="15.75" customHeight="1">
      <c r="A48" s="3">
        <v>0.084199</v>
      </c>
      <c r="B48" s="3">
        <v>0.108947</v>
      </c>
      <c r="C48" s="3">
        <v>0.361955</v>
      </c>
    </row>
    <row r="49" ht="15.75" customHeight="1">
      <c r="A49" s="3">
        <v>0.080537</v>
      </c>
      <c r="B49" s="3">
        <v>0.098698</v>
      </c>
      <c r="C49" s="3">
        <v>0.365373</v>
      </c>
    </row>
    <row r="50" ht="15.75" customHeight="1">
      <c r="A50" s="3">
        <v>0.082797</v>
      </c>
      <c r="B50" s="3">
        <v>0.099856</v>
      </c>
      <c r="C50" s="3">
        <v>0.362831</v>
      </c>
    </row>
    <row r="51" ht="15.75" customHeight="1">
      <c r="A51" s="3">
        <v>0.08195</v>
      </c>
      <c r="B51" s="3">
        <v>0.103183</v>
      </c>
      <c r="C51" s="3">
        <v>0.365316</v>
      </c>
    </row>
    <row r="52" ht="15.75" customHeight="1">
      <c r="A52" s="3">
        <v>0.078926</v>
      </c>
      <c r="B52" s="3">
        <v>0.103093</v>
      </c>
      <c r="C52" s="3">
        <v>0.368597</v>
      </c>
    </row>
    <row r="53" ht="15.75" customHeight="1">
      <c r="A53" s="3">
        <v>0.081627</v>
      </c>
      <c r="B53" s="3">
        <v>0.099638</v>
      </c>
      <c r="C53" s="3">
        <v>0.366175</v>
      </c>
    </row>
    <row r="54" ht="15.75" customHeight="1">
      <c r="A54" s="3">
        <v>0.078614</v>
      </c>
      <c r="B54" s="3">
        <v>0.102685</v>
      </c>
      <c r="C54" s="3">
        <v>0.3644</v>
      </c>
    </row>
    <row r="55" ht="15.75" customHeight="1">
      <c r="A55" s="3">
        <v>0.078775</v>
      </c>
      <c r="B55" s="3">
        <v>0.102408</v>
      </c>
      <c r="C55" s="3">
        <v>0.360226</v>
      </c>
    </row>
    <row r="56" ht="15.75" customHeight="1">
      <c r="A56" s="3">
        <v>0.07978</v>
      </c>
      <c r="B56" s="3">
        <v>0.098456</v>
      </c>
      <c r="C56" s="3">
        <v>0.364851</v>
      </c>
    </row>
    <row r="57" ht="15.75" customHeight="1">
      <c r="A57" s="3">
        <v>0.08181</v>
      </c>
      <c r="B57" s="3">
        <v>0.103851</v>
      </c>
      <c r="C57" s="3">
        <v>0.360777</v>
      </c>
    </row>
    <row r="58" ht="15.75" customHeight="1">
      <c r="A58" s="3">
        <v>0.074687</v>
      </c>
      <c r="B58" s="3">
        <v>0.105234</v>
      </c>
      <c r="C58" s="3">
        <v>0.348158</v>
      </c>
    </row>
    <row r="59" ht="15.75" customHeight="1">
      <c r="A59" s="3">
        <v>0.095128</v>
      </c>
      <c r="B59" s="3">
        <v>0.108647</v>
      </c>
      <c r="C59" s="3">
        <v>0.372033</v>
      </c>
    </row>
    <row r="60" ht="15.75" customHeight="1">
      <c r="A60" s="3">
        <v>0.101337</v>
      </c>
      <c r="B60" s="3">
        <v>0.105526</v>
      </c>
      <c r="C60" s="3">
        <v>0.344407</v>
      </c>
    </row>
    <row r="61" ht="15.75" customHeight="1">
      <c r="A61" s="3">
        <v>0.08082</v>
      </c>
      <c r="B61" s="3">
        <v>0.104126</v>
      </c>
      <c r="C61" s="3">
        <v>0.32221</v>
      </c>
    </row>
    <row r="62" ht="15.75" customHeight="1">
      <c r="A62" s="3">
        <v>0.083073</v>
      </c>
      <c r="B62" s="3">
        <v>0.097755</v>
      </c>
      <c r="C62" s="3">
        <v>0.353126</v>
      </c>
    </row>
    <row r="63" ht="15.75" customHeight="1">
      <c r="A63" s="3">
        <v>0.076811</v>
      </c>
      <c r="B63" s="3">
        <v>0.103275</v>
      </c>
      <c r="C63" s="3">
        <v>0.329349</v>
      </c>
    </row>
    <row r="64" ht="15.75" customHeight="1">
      <c r="A64" s="3">
        <v>0.077466</v>
      </c>
      <c r="B64" s="3">
        <v>0.101518</v>
      </c>
      <c r="C64" s="3">
        <v>0.374748</v>
      </c>
    </row>
    <row r="65" ht="15.75" customHeight="1">
      <c r="A65" s="3">
        <v>0.076107</v>
      </c>
      <c r="B65" s="3">
        <v>0.100331</v>
      </c>
      <c r="C65" s="3">
        <v>0.368242</v>
      </c>
    </row>
    <row r="66" ht="15.75" customHeight="1">
      <c r="A66" s="3">
        <v>0.064802</v>
      </c>
      <c r="B66" s="3">
        <v>0.081446</v>
      </c>
      <c r="C66" s="3">
        <v>0.356293</v>
      </c>
    </row>
    <row r="67" ht="15.75" customHeight="1">
      <c r="A67" s="3">
        <v>0.079702</v>
      </c>
      <c r="B67" s="3">
        <v>0.100956</v>
      </c>
      <c r="C67" s="3">
        <v>0.368836</v>
      </c>
    </row>
    <row r="68" ht="15.75" customHeight="1">
      <c r="A68" s="3">
        <v>0.079711</v>
      </c>
      <c r="B68" s="3">
        <v>0.10438</v>
      </c>
      <c r="C68" s="3">
        <v>0.369082</v>
      </c>
    </row>
    <row r="69" ht="15.75" customHeight="1">
      <c r="A69" s="3">
        <v>0.078727</v>
      </c>
      <c r="B69" s="3">
        <v>0.103342</v>
      </c>
      <c r="C69" s="3">
        <v>0.335819</v>
      </c>
    </row>
    <row r="70" ht="15.75" customHeight="1">
      <c r="A70" s="3">
        <v>0.111301</v>
      </c>
      <c r="B70" s="3">
        <v>0.127752</v>
      </c>
      <c r="C70" s="3">
        <v>0.353468</v>
      </c>
    </row>
    <row r="71" ht="15.75" customHeight="1">
      <c r="A71" s="3">
        <v>0.096049</v>
      </c>
      <c r="B71" s="3">
        <v>0.120347</v>
      </c>
      <c r="C71" s="3">
        <v>0.368098</v>
      </c>
    </row>
    <row r="72" ht="15.75" customHeight="1">
      <c r="A72" s="3">
        <v>0.101001</v>
      </c>
      <c r="B72" s="3">
        <v>0.116051</v>
      </c>
      <c r="C72" s="3">
        <v>0.365832</v>
      </c>
    </row>
    <row r="73" ht="15.75" customHeight="1">
      <c r="A73" s="3">
        <v>0.08929</v>
      </c>
      <c r="B73" s="3">
        <v>0.109207</v>
      </c>
      <c r="C73" s="3">
        <v>0.349323</v>
      </c>
    </row>
    <row r="74" ht="15.75" customHeight="1">
      <c r="A74" s="3">
        <v>0.087896</v>
      </c>
      <c r="B74" s="3">
        <v>0.128105</v>
      </c>
      <c r="C74" s="3">
        <v>0.374381</v>
      </c>
    </row>
    <row r="75" ht="15.75" customHeight="1">
      <c r="A75" s="3">
        <v>0.095738</v>
      </c>
      <c r="B75" s="3">
        <v>0.112544</v>
      </c>
      <c r="C75" s="3">
        <v>0.331293</v>
      </c>
    </row>
    <row r="76" ht="15.75" customHeight="1">
      <c r="A76" s="3">
        <v>0.090962</v>
      </c>
      <c r="B76" s="3">
        <v>0.116634</v>
      </c>
      <c r="C76" s="3">
        <v>0.340246</v>
      </c>
    </row>
    <row r="77" ht="15.75" customHeight="1">
      <c r="A77" s="3">
        <v>0.100268</v>
      </c>
      <c r="B77" s="3">
        <v>0.109515</v>
      </c>
      <c r="C77" s="3">
        <v>0.361333</v>
      </c>
    </row>
    <row r="78" ht="15.75" customHeight="1">
      <c r="A78" s="3">
        <v>0.09826</v>
      </c>
      <c r="B78" s="3">
        <v>0.130866</v>
      </c>
      <c r="C78" s="3">
        <v>0.348363</v>
      </c>
    </row>
    <row r="79" ht="15.75" customHeight="1">
      <c r="A79" s="3">
        <v>0.097532</v>
      </c>
      <c r="B79" s="3">
        <v>0.113739</v>
      </c>
      <c r="C79" s="3">
        <v>0.344444</v>
      </c>
    </row>
    <row r="80" ht="15.75" customHeight="1">
      <c r="A80" s="3">
        <v>0.091696</v>
      </c>
      <c r="B80" s="3">
        <v>0.12894</v>
      </c>
      <c r="C80" s="3">
        <v>0.343479</v>
      </c>
    </row>
    <row r="81" ht="15.75" customHeight="1">
      <c r="A81" s="3">
        <v>0.105877</v>
      </c>
      <c r="B81" s="3">
        <v>0.118479</v>
      </c>
      <c r="C81" s="3">
        <v>0.352066</v>
      </c>
    </row>
    <row r="82" ht="15.75" customHeight="1">
      <c r="A82" s="3">
        <v>0.12008</v>
      </c>
      <c r="B82" s="3">
        <v>0.236141</v>
      </c>
      <c r="C82" s="3">
        <v>0.356113</v>
      </c>
    </row>
    <row r="83" ht="15.75" customHeight="1">
      <c r="A83" s="3">
        <v>0.096029</v>
      </c>
      <c r="B83" s="3">
        <v>0.106798</v>
      </c>
      <c r="C83" s="3">
        <v>0.357663</v>
      </c>
    </row>
    <row r="84" ht="15.75" customHeight="1">
      <c r="A84" s="3">
        <v>0.092945</v>
      </c>
      <c r="B84" s="3">
        <v>0.117956</v>
      </c>
      <c r="C84" s="3">
        <v>0.353112</v>
      </c>
    </row>
    <row r="85" ht="15.75" customHeight="1">
      <c r="A85" s="3">
        <v>0.092979</v>
      </c>
      <c r="B85" s="3">
        <v>0.121015</v>
      </c>
      <c r="C85" s="3">
        <v>0.370221</v>
      </c>
    </row>
    <row r="86" ht="15.75" customHeight="1">
      <c r="A86" s="3">
        <v>0.097094</v>
      </c>
      <c r="B86" s="3">
        <v>0.114944</v>
      </c>
      <c r="C86" s="3">
        <v>0.356789</v>
      </c>
    </row>
    <row r="87" ht="15.75" customHeight="1">
      <c r="A87" s="3">
        <v>0.084393</v>
      </c>
      <c r="B87" s="3">
        <v>0.106754</v>
      </c>
      <c r="C87" s="3">
        <v>0.350382</v>
      </c>
    </row>
    <row r="88" ht="15.75" customHeight="1">
      <c r="A88" s="3">
        <v>0.093499</v>
      </c>
      <c r="B88" s="3">
        <v>0.10612</v>
      </c>
      <c r="C88" s="3">
        <v>0.346734</v>
      </c>
    </row>
    <row r="89" ht="15.75" customHeight="1">
      <c r="A89" s="3">
        <v>0.087835</v>
      </c>
      <c r="B89" s="3">
        <v>0.113754</v>
      </c>
      <c r="C89" s="3">
        <v>0.340272</v>
      </c>
    </row>
    <row r="90" ht="15.75" customHeight="1">
      <c r="A90" s="3">
        <v>0.086833</v>
      </c>
      <c r="B90" s="3">
        <v>0.112411</v>
      </c>
      <c r="C90" s="3">
        <v>0.351046</v>
      </c>
    </row>
    <row r="91" ht="15.75" customHeight="1">
      <c r="A91" s="3">
        <v>0.099536</v>
      </c>
      <c r="B91" s="3">
        <v>0.106363</v>
      </c>
      <c r="C91" s="3">
        <v>0.338784</v>
      </c>
    </row>
    <row r="92" ht="15.75" customHeight="1">
      <c r="A92" s="3">
        <v>0.087747</v>
      </c>
      <c r="B92" s="3">
        <v>0.109275</v>
      </c>
      <c r="C92" s="3">
        <v>0.340754</v>
      </c>
    </row>
    <row r="93" ht="15.75" customHeight="1">
      <c r="A93" s="3">
        <v>0.100967</v>
      </c>
      <c r="B93" s="3">
        <v>0.105743</v>
      </c>
      <c r="C93" s="3">
        <v>0.348676</v>
      </c>
    </row>
    <row r="94" ht="15.75" customHeight="1">
      <c r="A94" s="3">
        <v>0.086252</v>
      </c>
      <c r="B94" s="3">
        <v>0.108879</v>
      </c>
      <c r="C94" s="3">
        <v>0.350589</v>
      </c>
    </row>
    <row r="95" ht="15.75" customHeight="1">
      <c r="A95" s="3">
        <v>0.089691</v>
      </c>
      <c r="B95" s="3">
        <v>0.106434</v>
      </c>
      <c r="C95" s="3">
        <v>0.335294</v>
      </c>
    </row>
    <row r="96" ht="15.75" customHeight="1">
      <c r="A96" s="3">
        <v>0.088222</v>
      </c>
      <c r="B96" s="3">
        <v>0.120188</v>
      </c>
      <c r="C96" s="3">
        <v>0.322608</v>
      </c>
    </row>
    <row r="97" ht="15.75" customHeight="1">
      <c r="A97" s="3">
        <v>0.089658</v>
      </c>
      <c r="B97" s="3">
        <v>0.103251</v>
      </c>
      <c r="C97" s="3">
        <v>0.350826</v>
      </c>
    </row>
    <row r="98" ht="15.75" customHeight="1">
      <c r="A98" s="3">
        <v>0.091397</v>
      </c>
      <c r="B98" s="3">
        <v>0.116793</v>
      </c>
      <c r="C98" s="3">
        <v>0.347377</v>
      </c>
    </row>
    <row r="99" ht="15.75" customHeight="1">
      <c r="A99" s="3">
        <v>0.093871</v>
      </c>
      <c r="B99" s="3">
        <v>0.093458</v>
      </c>
      <c r="C99" s="3">
        <v>0.352202</v>
      </c>
    </row>
    <row r="100" ht="15.75" customHeight="1">
      <c r="A100" s="3">
        <v>0.071573</v>
      </c>
      <c r="B100" s="3">
        <v>0.095204</v>
      </c>
      <c r="C100" s="3">
        <v>0.350942</v>
      </c>
    </row>
    <row r="101" ht="15.75" customHeight="1">
      <c r="A101" s="3">
        <v>0.072984</v>
      </c>
      <c r="B101" s="3">
        <v>0.095333</v>
      </c>
      <c r="C101" s="3">
        <v>0.349838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1" t="s">
        <v>0</v>
      </c>
      <c r="G1" s="1" t="s">
        <v>1</v>
      </c>
      <c r="H1" s="1" t="s">
        <v>2</v>
      </c>
    </row>
    <row r="2">
      <c r="A2" s="3">
        <v>0.143327</v>
      </c>
      <c r="B2" s="3">
        <v>0.194218</v>
      </c>
      <c r="C2" s="3">
        <v>1.434264</v>
      </c>
      <c r="E2" s="2" t="s">
        <v>4</v>
      </c>
      <c r="F2" s="3">
        <f t="shared" ref="F2:H2" si="1">MIN(A2:A101)</f>
        <v>0.106472</v>
      </c>
      <c r="G2" s="3">
        <f t="shared" si="1"/>
        <v>0.14168</v>
      </c>
      <c r="H2" s="3">
        <f t="shared" si="1"/>
        <v>0.830006</v>
      </c>
    </row>
    <row r="3">
      <c r="A3" s="3">
        <v>0.137995</v>
      </c>
      <c r="B3" s="3">
        <v>0.197996</v>
      </c>
      <c r="C3" s="3">
        <v>1.490582</v>
      </c>
      <c r="E3" s="2" t="s">
        <v>5</v>
      </c>
      <c r="F3" s="3">
        <f t="shared" ref="F3:H3" si="2">MAX(A2:A101)</f>
        <v>0.233573</v>
      </c>
      <c r="G3" s="3">
        <f t="shared" si="2"/>
        <v>0.342849</v>
      </c>
      <c r="H3" s="3">
        <f t="shared" si="2"/>
        <v>2.1785</v>
      </c>
    </row>
    <row r="4">
      <c r="A4" s="3">
        <v>0.149064</v>
      </c>
      <c r="B4" s="3">
        <v>0.188071</v>
      </c>
      <c r="C4" s="3">
        <v>1.454958</v>
      </c>
      <c r="E4" s="2" t="s">
        <v>6</v>
      </c>
      <c r="F4" s="3">
        <f t="shared" ref="F4:H4" si="3">AVERAGE(A2:A101)</f>
        <v>0.15981094</v>
      </c>
      <c r="G4" s="3">
        <f t="shared" si="3"/>
        <v>0.20507628</v>
      </c>
      <c r="H4" s="3">
        <f t="shared" si="3"/>
        <v>1.34090773</v>
      </c>
    </row>
    <row r="5">
      <c r="A5" s="3">
        <v>0.13875</v>
      </c>
      <c r="B5" s="3">
        <v>0.183435</v>
      </c>
      <c r="C5" s="3">
        <v>1.305821</v>
      </c>
      <c r="E5" s="2" t="s">
        <v>7</v>
      </c>
      <c r="F5" s="3">
        <f t="shared" ref="F5:H5" si="4">_xlfn.STDEV.S(A2:A101)</f>
        <v>0.03343118843</v>
      </c>
      <c r="G5" s="3">
        <f t="shared" si="4"/>
        <v>0.04218179755</v>
      </c>
      <c r="H5" s="3">
        <f t="shared" si="4"/>
        <v>0.3868027498</v>
      </c>
    </row>
    <row r="6">
      <c r="A6" s="3">
        <v>0.152076</v>
      </c>
      <c r="B6" s="3">
        <v>0.2119</v>
      </c>
      <c r="C6" s="3">
        <v>1.471817</v>
      </c>
      <c r="E6" s="2" t="s">
        <v>8</v>
      </c>
      <c r="F6" s="4">
        <f t="shared" ref="F6:H6" si="5">F5/F4</f>
        <v>0.2091921143</v>
      </c>
      <c r="G6" s="4">
        <f t="shared" si="5"/>
        <v>0.20568833</v>
      </c>
      <c r="H6" s="4">
        <f t="shared" si="5"/>
        <v>0.2884633604</v>
      </c>
    </row>
    <row r="7">
      <c r="A7" s="3">
        <v>0.141749</v>
      </c>
      <c r="B7" s="3">
        <v>0.184918</v>
      </c>
      <c r="C7" s="3">
        <v>1.440946</v>
      </c>
    </row>
    <row r="8">
      <c r="A8" s="3">
        <v>0.144199</v>
      </c>
      <c r="B8" s="3">
        <v>0.195723</v>
      </c>
      <c r="C8" s="3">
        <v>1.54981</v>
      </c>
    </row>
    <row r="9">
      <c r="A9" s="3">
        <v>0.146002</v>
      </c>
      <c r="B9" s="3">
        <v>0.201893</v>
      </c>
      <c r="C9" s="3">
        <v>1.494716</v>
      </c>
    </row>
    <row r="10">
      <c r="A10" s="3">
        <v>0.148475</v>
      </c>
      <c r="B10" s="3">
        <v>0.21051</v>
      </c>
      <c r="C10" s="3">
        <v>1.515978</v>
      </c>
    </row>
    <row r="11">
      <c r="A11" s="3">
        <v>0.230298</v>
      </c>
      <c r="B11" s="3">
        <v>0.342849</v>
      </c>
      <c r="C11" s="3">
        <v>1.461414</v>
      </c>
    </row>
    <row r="12">
      <c r="A12" s="3">
        <v>0.222249</v>
      </c>
      <c r="B12" s="3">
        <v>0.265202</v>
      </c>
      <c r="C12" s="3">
        <v>1.442785</v>
      </c>
    </row>
    <row r="13">
      <c r="A13" s="3">
        <v>0.203465</v>
      </c>
      <c r="B13" s="3">
        <v>0.216717</v>
      </c>
      <c r="C13" s="3">
        <v>1.460137</v>
      </c>
    </row>
    <row r="14">
      <c r="A14" s="3">
        <v>0.191764</v>
      </c>
      <c r="B14" s="3">
        <v>0.22904</v>
      </c>
      <c r="C14" s="3">
        <v>1.463141</v>
      </c>
    </row>
    <row r="15">
      <c r="A15" s="3">
        <v>0.166734</v>
      </c>
      <c r="B15" s="3">
        <v>0.198354</v>
      </c>
      <c r="C15" s="3">
        <v>1.477948</v>
      </c>
    </row>
    <row r="16">
      <c r="A16" s="3">
        <v>0.156687</v>
      </c>
      <c r="B16" s="3">
        <v>0.207388</v>
      </c>
      <c r="C16" s="3">
        <v>1.466304</v>
      </c>
    </row>
    <row r="17">
      <c r="A17" s="3">
        <v>0.144786</v>
      </c>
      <c r="B17" s="3">
        <v>0.187632</v>
      </c>
      <c r="C17" s="3">
        <v>0.921164</v>
      </c>
    </row>
    <row r="18">
      <c r="A18" s="3">
        <v>0.108568</v>
      </c>
      <c r="B18" s="3">
        <v>0.14168</v>
      </c>
      <c r="C18" s="3">
        <v>0.834815</v>
      </c>
    </row>
    <row r="19">
      <c r="A19" s="3">
        <v>0.110718</v>
      </c>
      <c r="B19" s="3">
        <v>0.146935</v>
      </c>
      <c r="C19" s="3">
        <v>1.044939</v>
      </c>
    </row>
    <row r="20">
      <c r="A20" s="3">
        <v>0.119191</v>
      </c>
      <c r="B20" s="3">
        <v>0.158771</v>
      </c>
      <c r="C20" s="3">
        <v>0.862448</v>
      </c>
    </row>
    <row r="21" ht="15.75" customHeight="1">
      <c r="A21" s="3">
        <v>0.120245</v>
      </c>
      <c r="B21" s="3">
        <v>0.147068</v>
      </c>
      <c r="C21" s="3">
        <v>0.830006</v>
      </c>
    </row>
    <row r="22" ht="15.75" customHeight="1">
      <c r="A22" s="3">
        <v>0.106472</v>
      </c>
      <c r="B22" s="3">
        <v>0.144319</v>
      </c>
      <c r="C22" s="3">
        <v>0.983201</v>
      </c>
    </row>
    <row r="23" ht="15.75" customHeight="1">
      <c r="A23" s="3">
        <v>0.152142</v>
      </c>
      <c r="B23" s="3">
        <v>0.173049</v>
      </c>
      <c r="C23" s="3">
        <v>0.867085</v>
      </c>
    </row>
    <row r="24" ht="15.75" customHeight="1">
      <c r="A24" s="3">
        <v>0.115043</v>
      </c>
      <c r="B24" s="3">
        <v>0.164322</v>
      </c>
      <c r="C24" s="3">
        <v>0.911217</v>
      </c>
    </row>
    <row r="25" ht="15.75" customHeight="1">
      <c r="A25" s="3">
        <v>0.111983</v>
      </c>
      <c r="B25" s="3">
        <v>0.153629</v>
      </c>
      <c r="C25" s="3">
        <v>0.83911</v>
      </c>
    </row>
    <row r="26" ht="15.75" customHeight="1">
      <c r="A26" s="3">
        <v>0.110716</v>
      </c>
      <c r="B26" s="3">
        <v>0.150706</v>
      </c>
      <c r="C26" s="3">
        <v>0.887788</v>
      </c>
    </row>
    <row r="27" ht="15.75" customHeight="1">
      <c r="A27" s="3">
        <v>0.113374</v>
      </c>
      <c r="B27" s="3">
        <v>0.150679</v>
      </c>
      <c r="C27" s="3">
        <v>0.930852</v>
      </c>
    </row>
    <row r="28" ht="15.75" customHeight="1">
      <c r="A28" s="3">
        <v>0.10894</v>
      </c>
      <c r="B28" s="3">
        <v>0.145963</v>
      </c>
      <c r="C28" s="3">
        <v>0.947599</v>
      </c>
    </row>
    <row r="29" ht="15.75" customHeight="1">
      <c r="A29" s="3">
        <v>0.176268</v>
      </c>
      <c r="B29" s="3">
        <v>0.266862</v>
      </c>
      <c r="C29" s="3">
        <v>0.895496</v>
      </c>
    </row>
    <row r="30" ht="15.75" customHeight="1">
      <c r="A30" s="3">
        <v>0.146582</v>
      </c>
      <c r="B30" s="3">
        <v>0.180589</v>
      </c>
      <c r="C30" s="3">
        <v>0.847473</v>
      </c>
    </row>
    <row r="31" ht="15.75" customHeight="1">
      <c r="A31" s="3">
        <v>0.153886</v>
      </c>
      <c r="B31" s="3">
        <v>0.162735</v>
      </c>
      <c r="C31" s="3">
        <v>1.05542</v>
      </c>
    </row>
    <row r="32" ht="15.75" customHeight="1">
      <c r="A32" s="3">
        <v>0.137187</v>
      </c>
      <c r="B32" s="3">
        <v>0.182558</v>
      </c>
      <c r="C32" s="3">
        <v>0.847262</v>
      </c>
    </row>
    <row r="33" ht="15.75" customHeight="1">
      <c r="A33" s="3">
        <v>0.131768</v>
      </c>
      <c r="B33" s="3">
        <v>0.163715</v>
      </c>
      <c r="C33" s="3">
        <v>1.061713</v>
      </c>
    </row>
    <row r="34" ht="15.75" customHeight="1">
      <c r="A34" s="3">
        <v>0.128372</v>
      </c>
      <c r="B34" s="3">
        <v>0.157921</v>
      </c>
      <c r="C34" s="3">
        <v>0.847842</v>
      </c>
    </row>
    <row r="35" ht="15.75" customHeight="1">
      <c r="A35" s="3">
        <v>0.122102</v>
      </c>
      <c r="B35" s="3">
        <v>0.159353</v>
      </c>
      <c r="C35" s="3">
        <v>0.842402</v>
      </c>
    </row>
    <row r="36" ht="15.75" customHeight="1">
      <c r="A36" s="3">
        <v>0.121038</v>
      </c>
      <c r="B36" s="3">
        <v>0.160203</v>
      </c>
      <c r="C36" s="3">
        <v>0.876275</v>
      </c>
    </row>
    <row r="37" ht="15.75" customHeight="1">
      <c r="A37" s="3">
        <v>0.147651</v>
      </c>
      <c r="B37" s="3">
        <v>0.155582</v>
      </c>
      <c r="C37" s="3">
        <v>1.373221</v>
      </c>
    </row>
    <row r="38" ht="15.75" customHeight="1">
      <c r="A38" s="3">
        <v>0.163843</v>
      </c>
      <c r="B38" s="3">
        <v>0.180369</v>
      </c>
      <c r="C38" s="3">
        <v>0.848776</v>
      </c>
    </row>
    <row r="39" ht="15.75" customHeight="1">
      <c r="A39" s="3">
        <v>0.127115</v>
      </c>
      <c r="B39" s="3">
        <v>0.184457</v>
      </c>
      <c r="C39" s="3">
        <v>0.956472</v>
      </c>
    </row>
    <row r="40" ht="15.75" customHeight="1">
      <c r="A40" s="3">
        <v>0.140532</v>
      </c>
      <c r="B40" s="3">
        <v>0.164909</v>
      </c>
      <c r="C40" s="3">
        <v>0.886443</v>
      </c>
    </row>
    <row r="41" ht="15.75" customHeight="1">
      <c r="A41" s="3">
        <v>0.132978</v>
      </c>
      <c r="B41" s="3">
        <v>0.175345</v>
      </c>
      <c r="C41" s="3">
        <v>0.966148</v>
      </c>
    </row>
    <row r="42" ht="15.75" customHeight="1">
      <c r="A42" s="3">
        <v>0.123529</v>
      </c>
      <c r="B42" s="3">
        <v>0.156728</v>
      </c>
      <c r="C42" s="3">
        <v>0.863842</v>
      </c>
    </row>
    <row r="43" ht="15.75" customHeight="1">
      <c r="A43" s="3">
        <v>0.174709</v>
      </c>
      <c r="B43" s="3">
        <v>0.210789</v>
      </c>
      <c r="C43" s="3">
        <v>0.975556</v>
      </c>
    </row>
    <row r="44" ht="15.75" customHeight="1">
      <c r="A44" s="3">
        <v>0.146812</v>
      </c>
      <c r="B44" s="3">
        <v>0.174549</v>
      </c>
      <c r="C44" s="3">
        <v>1.334039</v>
      </c>
    </row>
    <row r="45" ht="15.75" customHeight="1">
      <c r="A45" s="3">
        <v>0.127106</v>
      </c>
      <c r="B45" s="3">
        <v>0.155454</v>
      </c>
      <c r="C45" s="3">
        <v>0.837293</v>
      </c>
    </row>
    <row r="46" ht="15.75" customHeight="1">
      <c r="A46" s="3">
        <v>0.123587</v>
      </c>
      <c r="B46" s="3">
        <v>0.154815</v>
      </c>
      <c r="C46" s="3">
        <v>0.879177</v>
      </c>
    </row>
    <row r="47" ht="15.75" customHeight="1">
      <c r="A47" s="3">
        <v>0.119967</v>
      </c>
      <c r="B47" s="3">
        <v>0.158725</v>
      </c>
      <c r="C47" s="3">
        <v>0.849516</v>
      </c>
    </row>
    <row r="48" ht="15.75" customHeight="1">
      <c r="A48" s="3">
        <v>0.116843</v>
      </c>
      <c r="B48" s="3">
        <v>0.154719</v>
      </c>
      <c r="C48" s="3">
        <v>0.83607</v>
      </c>
    </row>
    <row r="49" ht="15.75" customHeight="1">
      <c r="A49" s="3">
        <v>0.189518</v>
      </c>
      <c r="B49" s="3">
        <v>0.244508</v>
      </c>
      <c r="C49" s="3">
        <v>1.571979</v>
      </c>
    </row>
    <row r="50" ht="15.75" customHeight="1">
      <c r="A50" s="3">
        <v>0.177653</v>
      </c>
      <c r="B50" s="3">
        <v>0.227751</v>
      </c>
      <c r="C50" s="3">
        <v>1.574298</v>
      </c>
    </row>
    <row r="51" ht="15.75" customHeight="1">
      <c r="A51" s="3">
        <v>0.172999</v>
      </c>
      <c r="B51" s="3">
        <v>0.227014</v>
      </c>
      <c r="C51" s="3">
        <v>1.63349</v>
      </c>
    </row>
    <row r="52" ht="15.75" customHeight="1">
      <c r="A52" s="3">
        <v>0.192637</v>
      </c>
      <c r="B52" s="3">
        <v>0.24842</v>
      </c>
      <c r="C52" s="3">
        <v>1.63113</v>
      </c>
    </row>
    <row r="53" ht="15.75" customHeight="1">
      <c r="A53" s="3">
        <v>0.18564</v>
      </c>
      <c r="B53" s="3">
        <v>0.230826</v>
      </c>
      <c r="C53" s="3">
        <v>1.600509</v>
      </c>
    </row>
    <row r="54" ht="15.75" customHeight="1">
      <c r="A54" s="3">
        <v>0.180821</v>
      </c>
      <c r="B54" s="3">
        <v>0.22508</v>
      </c>
      <c r="C54" s="3">
        <v>1.723689</v>
      </c>
    </row>
    <row r="55" ht="15.75" customHeight="1">
      <c r="A55" s="3">
        <v>0.199415</v>
      </c>
      <c r="B55" s="3">
        <v>0.259758</v>
      </c>
      <c r="C55" s="3">
        <v>1.760303</v>
      </c>
    </row>
    <row r="56" ht="15.75" customHeight="1">
      <c r="A56" s="3">
        <v>0.193389</v>
      </c>
      <c r="B56" s="3">
        <v>0.236885</v>
      </c>
      <c r="C56" s="3">
        <v>1.724886</v>
      </c>
    </row>
    <row r="57" ht="15.75" customHeight="1">
      <c r="A57" s="3">
        <v>0.190766</v>
      </c>
      <c r="B57" s="3">
        <v>0.245852</v>
      </c>
      <c r="C57" s="3">
        <v>1.72224</v>
      </c>
    </row>
    <row r="58" ht="15.75" customHeight="1">
      <c r="A58" s="3">
        <v>0.200569</v>
      </c>
      <c r="B58" s="3">
        <v>0.241414</v>
      </c>
      <c r="C58" s="3">
        <v>1.68109</v>
      </c>
    </row>
    <row r="59" ht="15.75" customHeight="1">
      <c r="A59" s="3">
        <v>0.206642</v>
      </c>
      <c r="B59" s="3">
        <v>0.244489</v>
      </c>
      <c r="C59" s="3">
        <v>1.775717</v>
      </c>
    </row>
    <row r="60" ht="15.75" customHeight="1">
      <c r="A60" s="3">
        <v>0.203422</v>
      </c>
      <c r="B60" s="3">
        <v>0.255739</v>
      </c>
      <c r="C60" s="3">
        <v>1.770276</v>
      </c>
    </row>
    <row r="61" ht="15.75" customHeight="1">
      <c r="A61" s="3">
        <v>0.189916</v>
      </c>
      <c r="B61" s="3">
        <v>0.274632</v>
      </c>
      <c r="C61" s="3">
        <v>1.775659</v>
      </c>
    </row>
    <row r="62" ht="15.75" customHeight="1">
      <c r="A62" s="3">
        <v>0.203339</v>
      </c>
      <c r="B62" s="3">
        <v>0.252562</v>
      </c>
      <c r="C62" s="3">
        <v>1.720512</v>
      </c>
    </row>
    <row r="63" ht="15.75" customHeight="1">
      <c r="A63" s="3">
        <v>0.190942</v>
      </c>
      <c r="B63" s="3">
        <v>0.248893</v>
      </c>
      <c r="C63" s="3">
        <v>1.658391</v>
      </c>
    </row>
    <row r="64" ht="15.75" customHeight="1">
      <c r="A64" s="3">
        <v>0.197676</v>
      </c>
      <c r="B64" s="3">
        <v>0.248987</v>
      </c>
      <c r="C64" s="3">
        <v>1.770676</v>
      </c>
    </row>
    <row r="65" ht="15.75" customHeight="1">
      <c r="A65" s="3">
        <v>0.189679</v>
      </c>
      <c r="B65" s="3">
        <v>0.23956</v>
      </c>
      <c r="C65" s="3">
        <v>1.686644</v>
      </c>
    </row>
    <row r="66" ht="15.75" customHeight="1">
      <c r="A66" s="3">
        <v>0.195281</v>
      </c>
      <c r="B66" s="3">
        <v>0.251102</v>
      </c>
      <c r="C66" s="3">
        <v>1.6443</v>
      </c>
    </row>
    <row r="67" ht="15.75" customHeight="1">
      <c r="A67" s="3">
        <v>0.189181</v>
      </c>
      <c r="B67" s="3">
        <v>0.244534</v>
      </c>
      <c r="C67" s="3">
        <v>1.768483</v>
      </c>
    </row>
    <row r="68" ht="15.75" customHeight="1">
      <c r="A68" s="3">
        <v>0.201394</v>
      </c>
      <c r="B68" s="3">
        <v>0.250809</v>
      </c>
      <c r="C68" s="3">
        <v>1.685088</v>
      </c>
    </row>
    <row r="69" ht="15.75" customHeight="1">
      <c r="A69" s="3">
        <v>0.201007</v>
      </c>
      <c r="B69" s="3">
        <v>0.255842</v>
      </c>
      <c r="C69" s="3">
        <v>1.695546</v>
      </c>
    </row>
    <row r="70" ht="15.75" customHeight="1">
      <c r="A70" s="3">
        <v>0.204583</v>
      </c>
      <c r="B70" s="3">
        <v>0.260681</v>
      </c>
      <c r="C70" s="3">
        <v>1.709042</v>
      </c>
    </row>
    <row r="71" ht="15.75" customHeight="1">
      <c r="A71" s="3">
        <v>0.180873</v>
      </c>
      <c r="B71" s="3">
        <v>0.242758</v>
      </c>
      <c r="C71" s="3">
        <v>1.733395</v>
      </c>
    </row>
    <row r="72" ht="15.75" customHeight="1">
      <c r="A72" s="3">
        <v>0.172094</v>
      </c>
      <c r="B72" s="3">
        <v>0.227411</v>
      </c>
      <c r="C72" s="3">
        <v>1.816369</v>
      </c>
    </row>
    <row r="73" ht="15.75" customHeight="1">
      <c r="A73" s="3">
        <v>0.187829</v>
      </c>
      <c r="B73" s="3">
        <v>0.241065</v>
      </c>
      <c r="C73" s="3">
        <v>1.647548</v>
      </c>
    </row>
    <row r="74" ht="15.75" customHeight="1">
      <c r="A74" s="3">
        <v>0.198433</v>
      </c>
      <c r="B74" s="3">
        <v>0.250268</v>
      </c>
      <c r="C74" s="3">
        <v>1.646912</v>
      </c>
    </row>
    <row r="75" ht="15.75" customHeight="1">
      <c r="A75" s="3">
        <v>0.187969</v>
      </c>
      <c r="B75" s="3">
        <v>0.235752</v>
      </c>
      <c r="C75" s="3">
        <v>1.715073</v>
      </c>
    </row>
    <row r="76" ht="15.75" customHeight="1">
      <c r="A76" s="3">
        <v>0.184532</v>
      </c>
      <c r="B76" s="3">
        <v>0.249936</v>
      </c>
      <c r="C76" s="3">
        <v>2.1785</v>
      </c>
    </row>
    <row r="77" ht="15.75" customHeight="1">
      <c r="A77" s="3">
        <v>0.233573</v>
      </c>
      <c r="B77" s="3">
        <v>0.245405</v>
      </c>
      <c r="C77" s="3">
        <v>1.861144</v>
      </c>
    </row>
    <row r="78" ht="15.75" customHeight="1">
      <c r="A78" s="3">
        <v>0.201696</v>
      </c>
      <c r="B78" s="3">
        <v>0.248025</v>
      </c>
      <c r="C78" s="3">
        <v>1.912459</v>
      </c>
    </row>
    <row r="79" ht="15.75" customHeight="1">
      <c r="A79" s="3">
        <v>0.190793</v>
      </c>
      <c r="B79" s="3">
        <v>0.238266</v>
      </c>
      <c r="C79" s="3">
        <v>1.873451</v>
      </c>
    </row>
    <row r="80" ht="15.75" customHeight="1">
      <c r="A80" s="3">
        <v>0.188627</v>
      </c>
      <c r="B80" s="3">
        <v>0.252412</v>
      </c>
      <c r="C80" s="3">
        <v>1.922056</v>
      </c>
    </row>
    <row r="81" ht="15.75" customHeight="1">
      <c r="A81" s="3">
        <v>0.182819</v>
      </c>
      <c r="B81" s="3">
        <v>0.248465</v>
      </c>
      <c r="C81" s="3">
        <v>1.959476</v>
      </c>
    </row>
    <row r="82" ht="15.75" customHeight="1">
      <c r="A82" s="3">
        <v>0.182688</v>
      </c>
      <c r="B82" s="3">
        <v>0.250005</v>
      </c>
      <c r="C82" s="3">
        <v>1.798585</v>
      </c>
    </row>
    <row r="83" ht="15.75" customHeight="1">
      <c r="A83" s="3">
        <v>0.180361</v>
      </c>
      <c r="B83" s="3">
        <v>0.232179</v>
      </c>
      <c r="C83" s="3">
        <v>1.723833</v>
      </c>
    </row>
    <row r="84" ht="15.75" customHeight="1">
      <c r="A84" s="3">
        <v>0.17275</v>
      </c>
      <c r="B84" s="3">
        <v>0.237217</v>
      </c>
      <c r="C84" s="3">
        <v>1.693049</v>
      </c>
    </row>
    <row r="85" ht="15.75" customHeight="1">
      <c r="A85" s="3">
        <v>0.163288</v>
      </c>
      <c r="B85" s="3">
        <v>0.21173</v>
      </c>
      <c r="C85" s="3">
        <v>1.608445</v>
      </c>
    </row>
    <row r="86" ht="15.75" customHeight="1">
      <c r="A86" s="3">
        <v>0.165861</v>
      </c>
      <c r="B86" s="3">
        <v>0.208115</v>
      </c>
      <c r="C86" s="3">
        <v>1.234556</v>
      </c>
    </row>
    <row r="87" ht="15.75" customHeight="1">
      <c r="A87" s="3">
        <v>0.127108</v>
      </c>
      <c r="B87" s="3">
        <v>0.159951</v>
      </c>
      <c r="C87" s="3">
        <v>0.868198</v>
      </c>
    </row>
    <row r="88" ht="15.75" customHeight="1">
      <c r="A88" s="3">
        <v>0.116519</v>
      </c>
      <c r="B88" s="3">
        <v>0.154771</v>
      </c>
      <c r="C88" s="3">
        <v>1.377878</v>
      </c>
    </row>
    <row r="89" ht="15.75" customHeight="1">
      <c r="A89" s="3">
        <v>0.164753</v>
      </c>
      <c r="B89" s="3">
        <v>0.219142</v>
      </c>
      <c r="C89" s="3">
        <v>1.669218</v>
      </c>
    </row>
    <row r="90" ht="15.75" customHeight="1">
      <c r="A90" s="3">
        <v>0.194365</v>
      </c>
      <c r="B90" s="3">
        <v>0.241303</v>
      </c>
      <c r="C90" s="3">
        <v>1.647872</v>
      </c>
    </row>
    <row r="91" ht="15.75" customHeight="1">
      <c r="A91" s="3">
        <v>0.117441</v>
      </c>
      <c r="B91" s="3">
        <v>0.168868</v>
      </c>
      <c r="C91" s="3">
        <v>0.884436</v>
      </c>
    </row>
    <row r="92" ht="15.75" customHeight="1">
      <c r="A92" s="3">
        <v>0.11735</v>
      </c>
      <c r="B92" s="3">
        <v>0.156754</v>
      </c>
      <c r="C92" s="3">
        <v>0.933979</v>
      </c>
    </row>
    <row r="93" ht="15.75" customHeight="1">
      <c r="A93" s="3">
        <v>0.131722</v>
      </c>
      <c r="B93" s="3">
        <v>0.160299</v>
      </c>
      <c r="C93" s="3">
        <v>0.919189</v>
      </c>
    </row>
    <row r="94" ht="15.75" customHeight="1">
      <c r="A94" s="3">
        <v>0.123301</v>
      </c>
      <c r="B94" s="3">
        <v>0.161254</v>
      </c>
      <c r="C94" s="3">
        <v>1.320191</v>
      </c>
    </row>
    <row r="95" ht="15.75" customHeight="1">
      <c r="A95" s="3">
        <v>0.11871</v>
      </c>
      <c r="B95" s="3">
        <v>0.155009</v>
      </c>
      <c r="C95" s="3">
        <v>0.879632</v>
      </c>
    </row>
    <row r="96" ht="15.75" customHeight="1">
      <c r="A96" s="3">
        <v>0.181754</v>
      </c>
      <c r="B96" s="3">
        <v>0.229846</v>
      </c>
      <c r="C96" s="3">
        <v>1.633651</v>
      </c>
    </row>
    <row r="97" ht="15.75" customHeight="1">
      <c r="A97" s="3">
        <v>0.171778</v>
      </c>
      <c r="B97" s="3">
        <v>0.230645</v>
      </c>
      <c r="C97" s="3">
        <v>1.211012</v>
      </c>
    </row>
    <row r="98" ht="15.75" customHeight="1">
      <c r="A98" s="3">
        <v>0.135081</v>
      </c>
      <c r="B98" s="3">
        <v>0.165919</v>
      </c>
      <c r="C98" s="3">
        <v>0.870193</v>
      </c>
    </row>
    <row r="99" ht="15.75" customHeight="1">
      <c r="A99" s="3">
        <v>0.114612</v>
      </c>
      <c r="B99" s="3">
        <v>0.148546</v>
      </c>
      <c r="C99" s="3">
        <v>0.877032</v>
      </c>
    </row>
    <row r="100" ht="15.75" customHeight="1">
      <c r="A100" s="3">
        <v>0.161068</v>
      </c>
      <c r="B100" s="3">
        <v>0.215154</v>
      </c>
      <c r="C100" s="3">
        <v>0.857001</v>
      </c>
    </row>
    <row r="101" ht="15.75" customHeight="1">
      <c r="A101" s="3">
        <v>0.11799</v>
      </c>
      <c r="B101" s="3">
        <v>0.152476</v>
      </c>
      <c r="C101" s="3">
        <v>0.861211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9</v>
      </c>
      <c r="B1" s="6" t="s">
        <v>10</v>
      </c>
      <c r="C1" s="6" t="s">
        <v>11</v>
      </c>
      <c r="D1" s="7" t="s">
        <v>12</v>
      </c>
      <c r="E1" s="8" t="s">
        <v>13</v>
      </c>
      <c r="F1" s="9" t="s">
        <v>14</v>
      </c>
      <c r="G1" s="8" t="s">
        <v>15</v>
      </c>
      <c r="H1" s="9" t="s">
        <v>16</v>
      </c>
      <c r="I1" s="8" t="s">
        <v>17</v>
      </c>
      <c r="J1" s="9" t="s">
        <v>18</v>
      </c>
    </row>
    <row r="2">
      <c r="A2" s="10">
        <v>32.0</v>
      </c>
      <c r="B2" s="11">
        <v>0.07659967000000001</v>
      </c>
      <c r="C2" s="11">
        <v>0.05733255000000001</v>
      </c>
      <c r="D2" s="12">
        <v>0.17838266</v>
      </c>
      <c r="E2" s="11"/>
      <c r="F2" s="12"/>
      <c r="G2" s="11"/>
      <c r="H2" s="12"/>
      <c r="I2" s="11"/>
      <c r="J2" s="12"/>
    </row>
    <row r="3">
      <c r="A3" s="10">
        <v>64.0</v>
      </c>
      <c r="B3" s="3">
        <v>0.08309038</v>
      </c>
      <c r="C3" s="3">
        <v>0.05897776</v>
      </c>
      <c r="D3" s="13">
        <v>0.15596651</v>
      </c>
      <c r="E3" s="3">
        <f t="shared" ref="E3:E7" si="1">B3/B2</f>
        <v>1.084735483</v>
      </c>
      <c r="F3" s="13">
        <f t="shared" ref="F3:F7" si="2">LOG(E3, 2)</f>
        <v>0.1173432781</v>
      </c>
      <c r="G3" s="3">
        <f t="shared" ref="G3:G7" si="3">C3/C2</f>
        <v>1.028695915</v>
      </c>
      <c r="H3" s="13">
        <f t="shared" ref="H3:H7" si="4">LOG(G3, 2)</f>
        <v>0.04081658156</v>
      </c>
      <c r="I3" s="3">
        <f t="shared" ref="I3:I7" si="5">D3/D2</f>
        <v>0.8743367208</v>
      </c>
      <c r="J3" s="13">
        <f t="shared" ref="J3:J7" si="6">LOG(I3, 2)</f>
        <v>-0.1937391036</v>
      </c>
    </row>
    <row r="4">
      <c r="A4" s="10">
        <v>128.0</v>
      </c>
      <c r="B4" s="11">
        <v>0.07208476</v>
      </c>
      <c r="C4" s="11">
        <v>0.06094589000000001</v>
      </c>
      <c r="D4" s="12">
        <v>0.02942416</v>
      </c>
      <c r="E4" s="11">
        <f t="shared" si="1"/>
        <v>0.8675463995</v>
      </c>
      <c r="F4" s="12">
        <f t="shared" si="2"/>
        <v>-0.2049871747</v>
      </c>
      <c r="G4" s="11">
        <f t="shared" si="3"/>
        <v>1.033370715</v>
      </c>
      <c r="H4" s="12">
        <f t="shared" si="4"/>
        <v>0.04735790401</v>
      </c>
      <c r="I4" s="11">
        <f t="shared" si="5"/>
        <v>0.188656911</v>
      </c>
      <c r="J4" s="12">
        <f t="shared" si="6"/>
        <v>-2.406163144</v>
      </c>
    </row>
    <row r="5">
      <c r="A5" s="10">
        <v>256.0</v>
      </c>
      <c r="B5" s="3">
        <v>0.11466187</v>
      </c>
      <c r="C5" s="3">
        <v>0.1195066</v>
      </c>
      <c r="D5" s="13">
        <v>0.10297537</v>
      </c>
      <c r="E5" s="3">
        <f t="shared" si="1"/>
        <v>1.59065342</v>
      </c>
      <c r="F5" s="13">
        <f t="shared" si="2"/>
        <v>0.6696195276</v>
      </c>
      <c r="G5" s="3">
        <f t="shared" si="3"/>
        <v>1.960863973</v>
      </c>
      <c r="H5" s="13">
        <f t="shared" si="4"/>
        <v>0.9714894578</v>
      </c>
      <c r="I5" s="3">
        <f t="shared" si="5"/>
        <v>3.499687672</v>
      </c>
      <c r="J5" s="13">
        <f t="shared" si="6"/>
        <v>1.807226175</v>
      </c>
    </row>
    <row r="6">
      <c r="A6" s="10">
        <v>512.0</v>
      </c>
      <c r="B6" s="11">
        <v>0.09032157000000002</v>
      </c>
      <c r="C6" s="11">
        <v>0.12552118</v>
      </c>
      <c r="D6" s="12">
        <v>0.36110831</v>
      </c>
      <c r="E6" s="11">
        <f t="shared" si="1"/>
        <v>0.7877210619</v>
      </c>
      <c r="F6" s="12">
        <f t="shared" si="2"/>
        <v>-0.3442432441</v>
      </c>
      <c r="G6" s="11">
        <f t="shared" si="3"/>
        <v>1.050328434</v>
      </c>
      <c r="H6" s="12">
        <f t="shared" si="4"/>
        <v>0.07084052374</v>
      </c>
      <c r="I6" s="11">
        <f t="shared" si="5"/>
        <v>3.506744477</v>
      </c>
      <c r="J6" s="12">
        <f t="shared" si="6"/>
        <v>1.810132311</v>
      </c>
    </row>
    <row r="7">
      <c r="A7" s="14">
        <v>1024.0</v>
      </c>
      <c r="B7" s="15">
        <v>0.15981094</v>
      </c>
      <c r="C7" s="15">
        <v>0.20507628</v>
      </c>
      <c r="D7" s="16">
        <v>1.34090773</v>
      </c>
      <c r="E7" s="15">
        <f t="shared" si="1"/>
        <v>1.769355205</v>
      </c>
      <c r="F7" s="16">
        <f t="shared" si="2"/>
        <v>0.8232237038</v>
      </c>
      <c r="G7" s="15">
        <f t="shared" si="3"/>
        <v>1.633798216</v>
      </c>
      <c r="H7" s="16">
        <f t="shared" si="4"/>
        <v>0.7082298132</v>
      </c>
      <c r="I7" s="15">
        <f t="shared" si="5"/>
        <v>3.713311748</v>
      </c>
      <c r="J7" s="16">
        <f t="shared" si="6"/>
        <v>1.892706441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2026-03-22T03:17:42Z</dcterms:created>
</cp:coreProperties>
</file>